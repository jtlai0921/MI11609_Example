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11\"/>
    </mc:Choice>
  </mc:AlternateContent>
  <bookViews>
    <workbookView xWindow="0" yWindow="0" windowWidth="21600" windowHeight="9465" activeTab="4"/>
  </bookViews>
  <sheets>
    <sheet name="報價單表單" sheetId="1" r:id="rId1"/>
    <sheet name="1月熱呼呼" sheetId="3" r:id="rId2"/>
    <sheet name="1月索尼" sheetId="4" r:id="rId3"/>
    <sheet name="1月秋本企業" sheetId="10" r:id="rId4"/>
    <sheet name="1月夏普" sheetId="11" r:id="rId5"/>
    <sheet name="歷史報價" sheetId="2" r:id="rId6"/>
  </sheets>
  <definedNames>
    <definedName name="_xlnm.Print_Area" localSheetId="3">'1月秋本企業'!$B$2:$F$25</definedName>
    <definedName name="_xlnm.Print_Area" localSheetId="4">'1月夏普'!$B$2:$F$25</definedName>
    <definedName name="_xlnm.Print_Area" localSheetId="2">'1月索尼'!$B$2:$F$25</definedName>
    <definedName name="_xlnm.Print_Area" localSheetId="1">'1月熱呼呼'!$B$2:$F$25</definedName>
    <definedName name="_xlnm.Print_Area" localSheetId="0">報價單表單!$B$2:$F$25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1" l="1"/>
  <c r="D18" i="11" s="1"/>
  <c r="F18" i="11" s="1"/>
  <c r="C17" i="11"/>
  <c r="D17" i="11" s="1"/>
  <c r="F17" i="11" s="1"/>
  <c r="C16" i="11"/>
  <c r="D16" i="11" s="1"/>
  <c r="F16" i="11" s="1"/>
  <c r="C15" i="11"/>
  <c r="D15" i="11" s="1"/>
  <c r="F15" i="11" s="1"/>
  <c r="C14" i="11"/>
  <c r="D14" i="11" s="1"/>
  <c r="F14" i="11" s="1"/>
  <c r="C7" i="11"/>
  <c r="D18" i="10"/>
  <c r="F18" i="10" s="1"/>
  <c r="C18" i="10"/>
  <c r="C17" i="10"/>
  <c r="D17" i="10" s="1"/>
  <c r="F17" i="10" s="1"/>
  <c r="C16" i="10"/>
  <c r="D16" i="10" s="1"/>
  <c r="F16" i="10" s="1"/>
  <c r="C15" i="10"/>
  <c r="D15" i="10" s="1"/>
  <c r="F15" i="10" s="1"/>
  <c r="C14" i="10"/>
  <c r="D14" i="10" s="1"/>
  <c r="F14" i="10" s="1"/>
  <c r="C7" i="10"/>
  <c r="C18" i="4"/>
  <c r="D18" i="4" s="1"/>
  <c r="F18" i="4" s="1"/>
  <c r="C17" i="4"/>
  <c r="D17" i="4" s="1"/>
  <c r="F17" i="4" s="1"/>
  <c r="C16" i="4"/>
  <c r="D16" i="4" s="1"/>
  <c r="F16" i="4" s="1"/>
  <c r="C15" i="4"/>
  <c r="D15" i="4" s="1"/>
  <c r="F15" i="4" s="1"/>
  <c r="C14" i="4"/>
  <c r="D14" i="4" s="1"/>
  <c r="F14" i="4" s="1"/>
  <c r="C18" i="3"/>
  <c r="D18" i="3" s="1"/>
  <c r="F18" i="3" s="1"/>
  <c r="D17" i="3"/>
  <c r="F17" i="3" s="1"/>
  <c r="C17" i="3"/>
  <c r="C16" i="3"/>
  <c r="D16" i="3" s="1"/>
  <c r="F16" i="3" s="1"/>
  <c r="C15" i="3"/>
  <c r="D15" i="3" s="1"/>
  <c r="F15" i="3" s="1"/>
  <c r="C14" i="3"/>
  <c r="D14" i="3" s="1"/>
  <c r="F14" i="3" s="1"/>
  <c r="C15" i="1"/>
  <c r="C16" i="1"/>
  <c r="C17" i="1"/>
  <c r="C18" i="1"/>
  <c r="C14" i="1"/>
  <c r="F19" i="11" l="1"/>
  <c r="F20" i="11" s="1"/>
  <c r="F21" i="11" s="1"/>
  <c r="B11" i="11" s="1"/>
  <c r="F19" i="10"/>
  <c r="F19" i="4"/>
  <c r="C7" i="4"/>
  <c r="C7" i="3"/>
  <c r="F20" i="10" l="1"/>
  <c r="F21" i="10" s="1"/>
  <c r="B11" i="10" s="1"/>
  <c r="F20" i="4"/>
  <c r="F21" i="4" s="1"/>
  <c r="B11" i="4" s="1"/>
  <c r="F19" i="3"/>
  <c r="D16" i="1"/>
  <c r="F16" i="1" s="1"/>
  <c r="D15" i="1"/>
  <c r="F15" i="1" s="1"/>
  <c r="C7" i="1"/>
  <c r="F20" i="3" l="1"/>
  <c r="F21" i="3" s="1"/>
  <c r="B11" i="3" s="1"/>
  <c r="D14" i="1" l="1"/>
  <c r="F14" i="1" s="1"/>
  <c r="D17" i="1"/>
  <c r="F17" i="1" s="1"/>
  <c r="D18" i="1"/>
  <c r="F18" i="1" s="1"/>
  <c r="F19" i="1" l="1"/>
  <c r="F20" i="1" s="1"/>
  <c r="F21" i="1" s="1"/>
  <c r="B11" i="1" s="1"/>
</calcChain>
</file>

<file path=xl/sharedStrings.xml><?xml version="1.0" encoding="utf-8"?>
<sst xmlns="http://schemas.openxmlformats.org/spreadsheetml/2006/main" count="323" uniqueCount="88">
  <si>
    <t>株式会社　サンプル○×</t>
    <rPh sb="0" eb="2">
      <t>カブシキ</t>
    </rPh>
    <rPh sb="2" eb="4">
      <t>カイシャ</t>
    </rPh>
    <phoneticPr fontId="1"/>
  </si>
  <si>
    <t>〒○○○-○○　××県××市××</t>
    <rPh sb="10" eb="11">
      <t>ケン</t>
    </rPh>
    <rPh sb="13" eb="14">
      <t>シ</t>
    </rPh>
    <phoneticPr fontId="1"/>
  </si>
  <si>
    <t>電話：999-999-9999</t>
    <rPh sb="0" eb="2">
      <t>デンワ</t>
    </rPh>
    <phoneticPr fontId="1"/>
  </si>
  <si>
    <t>金額</t>
    <rPh sb="0" eb="2">
      <t>キンガク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</si>
  <si>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</si>
  <si>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</si>
  <si>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ID</t>
    <phoneticPr fontId="2"/>
  </si>
  <si>
    <t>商品名</t>
    <rPh sb="0" eb="3">
      <t>ショウヒンメイ</t>
    </rPh>
    <phoneticPr fontId="1"/>
  </si>
  <si>
    <t>金額</t>
    <rPh sb="0" eb="2">
      <t>キンガク</t>
    </rPh>
    <phoneticPr fontId="1"/>
  </si>
  <si>
    <t>S01</t>
  </si>
  <si>
    <t>S01</t>
    <phoneticPr fontId="2"/>
  </si>
  <si>
    <t>S02</t>
  </si>
  <si>
    <t>S02</t>
    <phoneticPr fontId="2"/>
  </si>
  <si>
    <t>S03</t>
  </si>
  <si>
    <t>S04</t>
    <phoneticPr fontId="2"/>
  </si>
  <si>
    <t>S05</t>
    <phoneticPr fontId="2"/>
  </si>
  <si>
    <t>S06</t>
    <phoneticPr fontId="2"/>
  </si>
  <si>
    <t>S08</t>
    <phoneticPr fontId="2"/>
  </si>
  <si>
    <t>後藤</t>
    <rPh sb="0" eb="2">
      <t>ゴトウ</t>
    </rPh>
    <phoneticPr fontId="2"/>
  </si>
  <si>
    <t>佐野</t>
    <rPh sb="0" eb="2">
      <t>サノ</t>
    </rPh>
    <phoneticPr fontId="2"/>
  </si>
  <si>
    <t>黒川</t>
    <rPh sb="0" eb="2">
      <t>クロカワ</t>
    </rPh>
    <phoneticPr fontId="2"/>
  </si>
  <si>
    <t>太田川</t>
    <rPh sb="0" eb="2">
      <t>オオタ</t>
    </rPh>
    <rPh sb="2" eb="3">
      <t>ガワ</t>
    </rPh>
    <phoneticPr fontId="2"/>
  </si>
  <si>
    <t>中山</t>
    <rPh sb="0" eb="2">
      <t>ナカヤマ</t>
    </rPh>
    <phoneticPr fontId="2"/>
  </si>
  <si>
    <t>S02</t>
    <phoneticPr fontId="2"/>
  </si>
  <si>
    <t>S04</t>
    <phoneticPr fontId="2"/>
  </si>
  <si>
    <t>S06</t>
    <phoneticPr fontId="2"/>
  </si>
  <si>
    <t>S08</t>
    <phoneticPr fontId="2"/>
  </si>
  <si>
    <t>S01</t>
    <phoneticPr fontId="2"/>
  </si>
  <si>
    <t>S05</t>
    <phoneticPr fontId="2"/>
  </si>
  <si>
    <t>報價單編號</t>
  </si>
  <si>
    <t>日期</t>
  </si>
  <si>
    <t>客戶</t>
  </si>
  <si>
    <t>連絡人</t>
  </si>
  <si>
    <t>負責人</t>
  </si>
  <si>
    <t>商品編號</t>
    <rPh sb="0" eb="2">
      <t>ショウヒン</t>
    </rPh>
    <rPh sb="2" eb="4">
      <t>バンゴウ</t>
    </rPh>
    <phoneticPr fontId="2"/>
  </si>
  <si>
    <t>商品名稱</t>
    <rPh sb="0" eb="2">
      <t>ショウヒン</t>
    </rPh>
    <phoneticPr fontId="2"/>
  </si>
  <si>
    <t>單價</t>
    <rPh sb="0" eb="2">
      <t>タンカ</t>
    </rPh>
    <phoneticPr fontId="2"/>
  </si>
  <si>
    <t>數量</t>
    <rPh sb="0" eb="2">
      <t>スウリョウ</t>
    </rPh>
    <phoneticPr fontId="2"/>
  </si>
  <si>
    <t>報價單</t>
    <phoneticPr fontId="2"/>
  </si>
  <si>
    <t>報價單編號</t>
    <rPh sb="3" eb="5">
      <t>バンゴウ</t>
    </rPh>
    <phoneticPr fontId="2"/>
  </si>
  <si>
    <t>報價日期</t>
    <rPh sb="0" eb="2">
      <t>ハッコウ</t>
    </rPh>
    <rPh sb="2" eb="3">
      <t>ビ</t>
    </rPh>
    <phoneticPr fontId="2"/>
  </si>
  <si>
    <t>秋本企業</t>
  </si>
  <si>
    <t>負責人：</t>
    <rPh sb="0" eb="3">
      <t>タントウシャ</t>
    </rPh>
    <phoneticPr fontId="2"/>
  </si>
  <si>
    <t>職稱：</t>
    <rPh sb="0" eb="2">
      <t>タントウ</t>
    </rPh>
    <phoneticPr fontId="2"/>
  </si>
  <si>
    <t>課長</t>
    <phoneticPr fontId="2"/>
  </si>
  <si>
    <t>咖啡</t>
  </si>
  <si>
    <t>熱牛奶</t>
  </si>
  <si>
    <t>消費稅</t>
    <rPh sb="0" eb="3">
      <t>ショウヒゼイ</t>
    </rPh>
    <phoneticPr fontId="2"/>
  </si>
  <si>
    <t>備註</t>
    <rPh sb="0" eb="2">
      <t>ビコウ</t>
    </rPh>
    <phoneticPr fontId="2"/>
  </si>
  <si>
    <t>客戶名單</t>
    <rPh sb="0" eb="2">
      <t>トリヒキ</t>
    </rPh>
    <rPh sb="2" eb="3">
      <t>サキ</t>
    </rPh>
    <phoneticPr fontId="2"/>
  </si>
  <si>
    <t>商品列表</t>
    <rPh sb="0" eb="2">
      <t>ショウヒン</t>
    </rPh>
    <phoneticPr fontId="2"/>
  </si>
  <si>
    <t>ID</t>
    <phoneticPr fontId="2"/>
  </si>
  <si>
    <t>客戶名稱</t>
    <rPh sb="0" eb="2">
      <t>トリヒキ</t>
    </rPh>
    <rPh sb="2" eb="3">
      <t>サキ</t>
    </rPh>
    <rPh sb="3" eb="4">
      <t>メイ</t>
    </rPh>
    <phoneticPr fontId="2"/>
  </si>
  <si>
    <t>負責人</t>
    <rPh sb="0" eb="3">
      <t>タントウシャ</t>
    </rPh>
    <phoneticPr fontId="2"/>
  </si>
  <si>
    <t>商品編號</t>
    <rPh sb="0" eb="2">
      <t>ショウヒン</t>
    </rPh>
    <rPh sb="2" eb="4">
      <t>バンゴウ</t>
    </rPh>
    <phoneticPr fontId="1"/>
  </si>
  <si>
    <t>熱呼呼</t>
    <phoneticPr fontId="2"/>
  </si>
  <si>
    <t>S01</t>
    <phoneticPr fontId="2"/>
  </si>
  <si>
    <t>上賀屋</t>
    <phoneticPr fontId="2"/>
  </si>
  <si>
    <t>S02</t>
    <phoneticPr fontId="2"/>
  </si>
  <si>
    <t>中川企業</t>
    <phoneticPr fontId="2"/>
  </si>
  <si>
    <t>中川圭一</t>
    <rPh sb="0" eb="2">
      <t>ヤベ</t>
    </rPh>
    <phoneticPr fontId="2"/>
  </si>
  <si>
    <t>S03</t>
    <phoneticPr fontId="2"/>
  </si>
  <si>
    <t>秋本企業</t>
    <phoneticPr fontId="2"/>
  </si>
  <si>
    <t>秋本麗子</t>
    <rPh sb="0" eb="2">
      <t>フクハラ</t>
    </rPh>
    <phoneticPr fontId="2"/>
  </si>
  <si>
    <t>S04</t>
    <phoneticPr fontId="2"/>
  </si>
  <si>
    <t>冰茶</t>
  </si>
  <si>
    <t>立石企業</t>
    <phoneticPr fontId="2"/>
  </si>
  <si>
    <t>S05</t>
    <phoneticPr fontId="2"/>
  </si>
  <si>
    <t>抹茶</t>
  </si>
  <si>
    <t>希洛</t>
    <phoneticPr fontId="2"/>
  </si>
  <si>
    <t>S06</t>
    <phoneticPr fontId="2"/>
  </si>
  <si>
    <t>葡萄</t>
  </si>
  <si>
    <t>索尼</t>
    <phoneticPr fontId="2"/>
  </si>
  <si>
    <t>芝山</t>
    <rPh sb="0" eb="1">
      <t>シバ</t>
    </rPh>
    <phoneticPr fontId="2"/>
  </si>
  <si>
    <t>S07</t>
    <phoneticPr fontId="2"/>
  </si>
  <si>
    <t>巧克力</t>
    <phoneticPr fontId="2"/>
  </si>
  <si>
    <t>夏普</t>
    <phoneticPr fontId="2"/>
  </si>
  <si>
    <t>S08</t>
    <phoneticPr fontId="2"/>
  </si>
  <si>
    <t>汽水</t>
    <phoneticPr fontId="2"/>
  </si>
  <si>
    <t>柳丁</t>
    <phoneticPr fontId="2"/>
  </si>
  <si>
    <t>索尼</t>
  </si>
  <si>
    <t>熱呼呼</t>
  </si>
  <si>
    <t>S04</t>
  </si>
  <si>
    <t>S06</t>
  </si>
  <si>
    <t>S08</t>
  </si>
  <si>
    <t>S01</t>
    <phoneticPr fontId="2"/>
  </si>
  <si>
    <t>夏普</t>
  </si>
  <si>
    <t>S05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</si>
</sst>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8" formatCode="yyyy&quot;年&quot;m&quot;月&quot;d&quot;日&quot;;@"/>
    <numFmt numFmtId="179" formatCode="@\ &quot;有限公司&quot;"/>
    <numFmt numFmtId="180" formatCode="&quot;報價單金額：&quot;#,###&quot;元&quot;"/>
  </numFmts>
  <fonts count="9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b/>
      <sz val="18"/>
      <color theme="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14" fontId="0" fillId="0" borderId="0" xfId="0" applyNumberFormat="1">
      <alignment vertical="center"/>
    </xf>
    <xf numFmtId="38" fontId="0" fillId="0" borderId="0" xfId="1" applyFont="1">
      <alignment vertical="center"/>
    </xf>
    <xf numFmtId="0" fontId="4" fillId="0" borderId="0" xfId="0" applyFont="1">
      <alignment vertical="center"/>
    </xf>
    <xf numFmtId="0" fontId="4" fillId="3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3" borderId="3" xfId="0" applyFont="1" applyFill="1" applyBorder="1">
      <alignment vertical="center"/>
    </xf>
    <xf numFmtId="178" fontId="4" fillId="0" borderId="3" xfId="0" applyNumberFormat="1" applyFont="1" applyBorder="1">
      <alignment vertical="center"/>
    </xf>
    <xf numFmtId="0" fontId="6" fillId="0" borderId="3" xfId="0" applyFont="1" applyBorder="1" applyAlignment="1">
      <alignment horizontal="right" vertical="center"/>
    </xf>
    <xf numFmtId="0" fontId="4" fillId="0" borderId="3" xfId="0" applyNumberFormat="1" applyFont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38" fontId="4" fillId="0" borderId="1" xfId="1" applyFont="1" applyBorder="1">
      <alignment vertical="center"/>
    </xf>
    <xf numFmtId="0" fontId="4" fillId="3" borderId="1" xfId="0" applyFont="1" applyFill="1" applyBorder="1">
      <alignment vertical="center"/>
    </xf>
    <xf numFmtId="38" fontId="4" fillId="0" borderId="13" xfId="1" applyFont="1" applyBorder="1">
      <alignment vertical="center"/>
    </xf>
    <xf numFmtId="38" fontId="4" fillId="0" borderId="12" xfId="1" applyFont="1" applyBorder="1">
      <alignment vertical="center"/>
    </xf>
    <xf numFmtId="38" fontId="4" fillId="0" borderId="11" xfId="1" applyFont="1" applyBorder="1">
      <alignment vertical="center"/>
    </xf>
    <xf numFmtId="0" fontId="4" fillId="0" borderId="0" xfId="0" applyFont="1" applyAlignment="1"/>
    <xf numFmtId="179" fontId="5" fillId="0" borderId="2" xfId="0" applyNumberFormat="1" applyFont="1" applyBorder="1">
      <alignment vertical="center"/>
    </xf>
    <xf numFmtId="38" fontId="4" fillId="3" borderId="1" xfId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180" fontId="7" fillId="0" borderId="2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</cellXfs>
  <cellStyles count="2">
    <cellStyle name="一般" xfId="0" builtinId="0"/>
    <cellStyle name="千分位[0]" xfId="1" builtinId="6"/>
  </cellStyles>
  <dxfs count="50"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3" name="客戶名單" displayName="客戶名單" ref="B29:D37" totalsRowShown="0" headerRowDxfId="49" dataDxfId="48">
  <autoFilter ref="B29:D37"/>
  <tableColumns count="3">
    <tableColumn id="1" name="ID" dataDxfId="47"/>
    <tableColumn id="2" name="客戶名稱" dataDxfId="46"/>
    <tableColumn id="3" name="負責人" dataDxfId="4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14" name="商品名單" displayName="商品名單" ref="F29:H37" totalsRowShown="0" headerRowDxfId="44" dataDxfId="43">
  <autoFilter ref="F29:H37"/>
  <tableColumns count="3">
    <tableColumn id="1" name="商品編號" dataDxfId="42"/>
    <tableColumn id="2" name="商品名" dataDxfId="41"/>
    <tableColumn id="3" name="金額" dataDxfId="40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11" name="客戶名單12" displayName="客戶名單12" ref="B29:D37" totalsRowShown="0" headerRowDxfId="39" dataDxfId="38">
  <autoFilter ref="B29:D37"/>
  <tableColumns count="3">
    <tableColumn id="1" name="ID" dataDxfId="37"/>
    <tableColumn id="2" name="客戶名稱" dataDxfId="36"/>
    <tableColumn id="3" name="負責人" dataDxfId="35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12" name="商品名單13" displayName="商品名單13" ref="F29:H37" totalsRowShown="0" headerRowDxfId="34" dataDxfId="33">
  <autoFilter ref="F29:H37"/>
  <tableColumns count="3">
    <tableColumn id="1" name="商品編號" dataDxfId="32"/>
    <tableColumn id="2" name="商品名" dataDxfId="31"/>
    <tableColumn id="3" name="金額" dataDxfId="30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17" name="客戶名單18" displayName="客戶名單18" ref="B29:D37" totalsRowShown="0" headerRowDxfId="29" dataDxfId="28">
  <autoFilter ref="B29:D37"/>
  <tableColumns count="3">
    <tableColumn id="1" name="ID" dataDxfId="27"/>
    <tableColumn id="2" name="客戶名稱" dataDxfId="26"/>
    <tableColumn id="3" name="負責人" dataDxfId="25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18" name="商品名單19" displayName="商品名單19" ref="F29:H37" totalsRowShown="0" headerRowDxfId="24" dataDxfId="23">
  <autoFilter ref="F29:H37"/>
  <tableColumns count="3">
    <tableColumn id="1" name="商品編號" dataDxfId="22"/>
    <tableColumn id="2" name="商品名" dataDxfId="21"/>
    <tableColumn id="3" name="金額" dataDxfId="20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3" name="客戶名單184" displayName="客戶名單184" ref="B29:D37" totalsRowShown="0" headerRowDxfId="19" dataDxfId="18">
  <autoFilter ref="B29:D37"/>
  <tableColumns count="3">
    <tableColumn id="1" name="ID" dataDxfId="17"/>
    <tableColumn id="2" name="客戶名稱" dataDxfId="16"/>
    <tableColumn id="3" name="負責人" dataDxfId="15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4" name="商品名單195" displayName="商品名單195" ref="F29:H37" totalsRowShown="0" headerRowDxfId="14" dataDxfId="13">
  <autoFilter ref="F29:H37"/>
  <tableColumns count="3">
    <tableColumn id="1" name="商品編號" dataDxfId="12"/>
    <tableColumn id="2" name="商品名" dataDxfId="11"/>
    <tableColumn id="3" name="金額" dataDxfId="10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id="5" name="客戶名單1846" displayName="客戶名單1846" ref="B29:D37" totalsRowShown="0" headerRowDxfId="9" dataDxfId="8">
  <autoFilter ref="B29:D37"/>
  <tableColumns count="3">
    <tableColumn id="1" name="ID" dataDxfId="7"/>
    <tableColumn id="2" name="客戶名稱" dataDxfId="6"/>
    <tableColumn id="3" name="負責人" dataDxfId="5"/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id="6" name="商品名單1957" displayName="商品名單1957" ref="F29:H37" totalsRowShown="0" headerRowDxfId="4" dataDxfId="3">
  <autoFilter ref="F29:H37"/>
  <tableColumns count="3">
    <tableColumn id="1" name="商品編號" dataDxfId="2"/>
    <tableColumn id="2" name="商品名" dataDxfId="1"/>
    <tableColumn id="3" name="金額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H37"/>
  <sheetViews>
    <sheetView zoomScale="115" zoomScaleNormal="115" workbookViewId="0">
      <selection activeCell="B13" sqref="B13:F18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1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42391</v>
      </c>
      <c r="G5" s="3"/>
      <c r="H5" s="3"/>
    </row>
    <row r="6" spans="2:8" ht="18.75" x14ac:dyDescent="0.25">
      <c r="B6" s="20" t="s">
        <v>41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VLOOKUP(B6,客戶名單[[#All],[客戶名稱]:[負責人]],2,0)</f>
        <v>秋本麗子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2430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85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3</v>
      </c>
      <c r="F14" s="14">
        <f>IFERROR(E14*D14,"")</f>
        <v>1050</v>
      </c>
      <c r="G14" s="3"/>
      <c r="H14" s="3"/>
    </row>
    <row r="15" spans="2:8" x14ac:dyDescent="0.25">
      <c r="B15" s="13" t="s">
        <v>11</v>
      </c>
      <c r="C15" s="13" t="str">
        <f>IFERROR(VLOOKUP(B15,商品名單[#All],2,0),"")</f>
        <v>柳丁</v>
      </c>
      <c r="D15" s="14">
        <f>IFERROR(VLOOKUP(C15,商品名單[[商品名]:[金額]],2,0),"")</f>
        <v>400</v>
      </c>
      <c r="E15" s="13">
        <v>2</v>
      </c>
      <c r="F15" s="14">
        <f t="shared" ref="F15:F18" si="0">IFERROR(E15*D15,"")</f>
        <v>800</v>
      </c>
      <c r="G15" s="3"/>
      <c r="H15" s="3"/>
    </row>
    <row r="16" spans="2:8" x14ac:dyDescent="0.25">
      <c r="B16" s="13" t="s">
        <v>13</v>
      </c>
      <c r="C16" s="13" t="str">
        <f>IFERROR(VLOOKUP(B16,商品名單[#All],2,0),"")</f>
        <v>熱牛奶</v>
      </c>
      <c r="D16" s="14">
        <f>IFERROR(VLOOKUP(C16,商品名單[[商品名]:[金額]],2,0),"")</f>
        <v>400</v>
      </c>
      <c r="E16" s="13">
        <v>1</v>
      </c>
      <c r="F16" s="14">
        <f t="shared" si="0"/>
        <v>400</v>
      </c>
      <c r="G16" s="3"/>
      <c r="H16" s="3"/>
    </row>
    <row r="17" spans="2:8" x14ac:dyDescent="0.25">
      <c r="B17" s="13"/>
      <c r="C17" s="13" t="str">
        <f>IFERROR(VLOOKUP(B17,商品名單[#All],2,0),"")</f>
        <v/>
      </c>
      <c r="D17" s="14" t="str">
        <f>IFERROR(VLOOKUP(C17,商品名單[[商品名]:[金額]],2,0),"")</f>
        <v/>
      </c>
      <c r="E17" s="13"/>
      <c r="F17" s="14" t="str">
        <f t="shared" si="0"/>
        <v/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2250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180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2430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51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56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58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64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67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70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77</v>
      </c>
      <c r="G37" s="3" t="s">
        <v>78</v>
      </c>
      <c r="H37" s="3">
        <v>800</v>
      </c>
    </row>
  </sheetData>
  <mergeCells count="5">
    <mergeCell ref="B24:F24"/>
    <mergeCell ref="B25:F25"/>
    <mergeCell ref="B11:D11"/>
    <mergeCell ref="B2:F2"/>
    <mergeCell ref="B23:F23"/>
  </mergeCells>
  <phoneticPr fontId="2"/>
  <dataValidations disablePrompts="1"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2:H37"/>
  <sheetViews>
    <sheetView topLeftCell="A13" workbookViewId="0">
      <selection activeCell="G30" sqref="G30:H37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1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42380</v>
      </c>
      <c r="G5" s="3"/>
      <c r="H5" s="3"/>
    </row>
    <row r="6" spans="2:8" ht="18.75" x14ac:dyDescent="0.25">
      <c r="B6" s="20" t="s">
        <v>81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VLOOKUP(B6,客戶名單12[[#All],[客戶名稱]:[負責人]],2,0)</f>
        <v>後藤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54000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85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40</v>
      </c>
      <c r="F14" s="14">
        <f>IFERROR(E14*D14,"")</f>
        <v>14000</v>
      </c>
      <c r="G14" s="3"/>
      <c r="H14" s="3"/>
    </row>
    <row r="15" spans="2:8" x14ac:dyDescent="0.25">
      <c r="B15" s="13" t="s">
        <v>11</v>
      </c>
      <c r="C15" s="13" t="str">
        <f>IFERROR(VLOOKUP(B15,商品名單[#All],2,0),"")</f>
        <v>柳丁</v>
      </c>
      <c r="D15" s="14">
        <f>IFERROR(VLOOKUP(C15,商品名單[[商品名]:[金額]],2,0),"")</f>
        <v>400</v>
      </c>
      <c r="E15" s="13">
        <v>30</v>
      </c>
      <c r="F15" s="14">
        <f t="shared" ref="F15:F18" si="0">IFERROR(E15*D15,"")</f>
        <v>12000</v>
      </c>
      <c r="G15" s="3"/>
      <c r="H15" s="3"/>
    </row>
    <row r="16" spans="2:8" x14ac:dyDescent="0.25">
      <c r="B16" s="13" t="s">
        <v>13</v>
      </c>
      <c r="C16" s="13" t="str">
        <f>IFERROR(VLOOKUP(B16,商品名單[#All],2,0),"")</f>
        <v>熱牛奶</v>
      </c>
      <c r="D16" s="14">
        <f>IFERROR(VLOOKUP(C16,商品名單[[商品名]:[金額]],2,0),"")</f>
        <v>400</v>
      </c>
      <c r="E16" s="13">
        <v>60</v>
      </c>
      <c r="F16" s="14">
        <f t="shared" si="0"/>
        <v>24000</v>
      </c>
      <c r="G16" s="3"/>
      <c r="H16" s="3"/>
    </row>
    <row r="17" spans="2:8" x14ac:dyDescent="0.25">
      <c r="B17" s="13"/>
      <c r="C17" s="13" t="str">
        <f>IFERROR(VLOOKUP(B17,商品名單[#All],2,0),"")</f>
        <v/>
      </c>
      <c r="D17" s="14" t="str">
        <f>IFERROR(VLOOKUP(C17,商品名單[[商品名]:[金額]],2,0),"")</f>
        <v/>
      </c>
      <c r="E17" s="13"/>
      <c r="F17" s="14" t="str">
        <f t="shared" si="0"/>
        <v/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50000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4000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54000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51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27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23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24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28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25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26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2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2:H37"/>
  <sheetViews>
    <sheetView topLeftCell="A13" workbookViewId="0">
      <selection activeCell="D30" sqref="D30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2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42383</v>
      </c>
      <c r="G5" s="3"/>
      <c r="H5" s="3"/>
    </row>
    <row r="6" spans="2:8" ht="18.75" x14ac:dyDescent="0.25">
      <c r="B6" s="20" t="s">
        <v>80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VLOOKUP(B6,客戶名單18[[#All],[客戶名稱]:[負責人]],2,0)</f>
        <v>芝山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157680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11</v>
      </c>
      <c r="C14" s="13" t="str">
        <f>IFERROR(VLOOKUP(B14,商品名單[#All],2,0),"")</f>
        <v>柳丁</v>
      </c>
      <c r="D14" s="14">
        <f>IFERROR(VLOOKUP(C14,商品名單[[商品名]:[金額]],2,0),"")</f>
        <v>400</v>
      </c>
      <c r="E14" s="13">
        <v>30</v>
      </c>
      <c r="F14" s="14">
        <f>IFERROR(E14*D14,"")</f>
        <v>12000</v>
      </c>
      <c r="G14" s="3"/>
      <c r="H14" s="3"/>
    </row>
    <row r="15" spans="2:8" x14ac:dyDescent="0.25">
      <c r="B15" s="13" t="s">
        <v>82</v>
      </c>
      <c r="C15" s="13" t="str">
        <f>IFERROR(VLOOKUP(B15,商品名單[#All],2,0),"")</f>
        <v>冰茶</v>
      </c>
      <c r="D15" s="14">
        <f>IFERROR(VLOOKUP(C15,商品名單[[商品名]:[金額]],2,0),"")</f>
        <v>450</v>
      </c>
      <c r="E15" s="13">
        <v>80</v>
      </c>
      <c r="F15" s="14">
        <f t="shared" ref="F15:F18" si="0">IFERROR(E15*D15,"")</f>
        <v>36000</v>
      </c>
      <c r="G15" s="3"/>
      <c r="H15" s="3"/>
    </row>
    <row r="16" spans="2:8" x14ac:dyDescent="0.25">
      <c r="B16" s="13" t="s">
        <v>83</v>
      </c>
      <c r="C16" s="13" t="str">
        <f>IFERROR(VLOOKUP(B16,商品名單[#All],2,0),"")</f>
        <v>葡萄</v>
      </c>
      <c r="D16" s="14">
        <f>IFERROR(VLOOKUP(C16,商品名單[[商品名]:[金額]],2,0),"")</f>
        <v>600</v>
      </c>
      <c r="E16" s="13">
        <v>30</v>
      </c>
      <c r="F16" s="14">
        <f t="shared" si="0"/>
        <v>18000</v>
      </c>
      <c r="G16" s="3"/>
      <c r="H16" s="3"/>
    </row>
    <row r="17" spans="2:8" x14ac:dyDescent="0.25">
      <c r="B17" s="13" t="s">
        <v>84</v>
      </c>
      <c r="C17" s="13" t="str">
        <f>IFERROR(VLOOKUP(B17,商品名單[#All],2,0),"")</f>
        <v>汽水</v>
      </c>
      <c r="D17" s="14">
        <f>IFERROR(VLOOKUP(C17,商品名單[[商品名]:[金額]],2,0),"")</f>
        <v>800</v>
      </c>
      <c r="E17" s="13">
        <v>100</v>
      </c>
      <c r="F17" s="14">
        <f t="shared" si="0"/>
        <v>80000</v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146000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11680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157680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51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27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23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24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28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25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26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2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H37"/>
  <sheetViews>
    <sheetView workbookViewId="0">
      <selection activeCell="C9" sqref="C9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3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42385</v>
      </c>
      <c r="G5" s="3"/>
      <c r="H5" s="3"/>
    </row>
    <row r="6" spans="2:8" ht="18.75" x14ac:dyDescent="0.25">
      <c r="B6" s="20" t="s">
        <v>41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VLOOKUP(B6,客戶名單184[[#All],[客戶名稱]:[負責人]],2,0)</f>
        <v>秋本麗子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76140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9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30</v>
      </c>
      <c r="F14" s="14">
        <f>IFERROR(E14*D14,"")</f>
        <v>10500</v>
      </c>
      <c r="G14" s="3"/>
      <c r="H14" s="3"/>
    </row>
    <row r="15" spans="2:8" x14ac:dyDescent="0.25">
      <c r="B15" s="13" t="s">
        <v>82</v>
      </c>
      <c r="C15" s="13" t="str">
        <f>IFERROR(VLOOKUP(B15,商品名單[#All],2,0),"")</f>
        <v>冰茶</v>
      </c>
      <c r="D15" s="14">
        <f>IFERROR(VLOOKUP(C15,商品名單[[商品名]:[金額]],2,0),"")</f>
        <v>450</v>
      </c>
      <c r="E15" s="13">
        <v>80</v>
      </c>
      <c r="F15" s="14">
        <f t="shared" ref="F15:F18" si="0">IFERROR(E15*D15,"")</f>
        <v>36000</v>
      </c>
      <c r="G15" s="3"/>
      <c r="H15" s="3"/>
    </row>
    <row r="16" spans="2:8" x14ac:dyDescent="0.25">
      <c r="B16" s="13" t="s">
        <v>84</v>
      </c>
      <c r="C16" s="13" t="str">
        <f>IFERROR(VLOOKUP(B16,商品名單[#All],2,0),"")</f>
        <v>汽水</v>
      </c>
      <c r="D16" s="14">
        <f>IFERROR(VLOOKUP(C16,商品名單[[商品名]:[金額]],2,0),"")</f>
        <v>800</v>
      </c>
      <c r="E16" s="13">
        <v>30</v>
      </c>
      <c r="F16" s="14">
        <f t="shared" si="0"/>
        <v>24000</v>
      </c>
      <c r="G16" s="3"/>
      <c r="H16" s="3"/>
    </row>
    <row r="17" spans="2:8" x14ac:dyDescent="0.25">
      <c r="B17" s="13"/>
      <c r="C17" s="13" t="str">
        <f>IFERROR(VLOOKUP(B17,商品名單[#All],2,0),"")</f>
        <v/>
      </c>
      <c r="D17" s="14" t="str">
        <f>IFERROR(VLOOKUP(C17,商品名單[[商品名]:[金額]],2,0),"")</f>
        <v/>
      </c>
      <c r="E17" s="13"/>
      <c r="F17" s="14" t="str">
        <f t="shared" si="0"/>
        <v/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70500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5640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76140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6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10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12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14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15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16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17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8" type="noConversion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2:H37"/>
  <sheetViews>
    <sheetView tabSelected="1" workbookViewId="0">
      <selection activeCell="H21" sqref="H21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4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42385</v>
      </c>
      <c r="G5" s="3"/>
      <c r="H5" s="3"/>
    </row>
    <row r="6" spans="2:8" ht="18.75" x14ac:dyDescent="0.25">
      <c r="B6" s="20" t="s">
        <v>86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VLOOKUP(B6,客戶名單1846[[#All],[客戶名稱]:[負責人]],2,0)</f>
        <v>中山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149040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9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70</v>
      </c>
      <c r="F14" s="14">
        <f>IFERROR(E14*D14,"")</f>
        <v>24500</v>
      </c>
      <c r="G14" s="3"/>
      <c r="H14" s="3"/>
    </row>
    <row r="15" spans="2:8" x14ac:dyDescent="0.25">
      <c r="B15" s="13" t="s">
        <v>11</v>
      </c>
      <c r="C15" s="13" t="str">
        <f>IFERROR(VLOOKUP(B15,商品名單[#All],2,0),"")</f>
        <v>柳丁</v>
      </c>
      <c r="D15" s="14">
        <f>IFERROR(VLOOKUP(C15,商品名單[[商品名]:[金額]],2,0),"")</f>
        <v>400</v>
      </c>
      <c r="E15" s="13">
        <v>50</v>
      </c>
      <c r="F15" s="14">
        <f t="shared" ref="F15:F18" si="0">IFERROR(E15*D15,"")</f>
        <v>20000</v>
      </c>
      <c r="G15" s="3"/>
      <c r="H15" s="3"/>
    </row>
    <row r="16" spans="2:8" x14ac:dyDescent="0.25">
      <c r="B16" s="13" t="s">
        <v>13</v>
      </c>
      <c r="C16" s="13" t="str">
        <f>IFERROR(VLOOKUP(B16,商品名單[#All],2,0),"")</f>
        <v>熱牛奶</v>
      </c>
      <c r="D16" s="14">
        <f>IFERROR(VLOOKUP(C16,商品名單[[商品名]:[金額]],2,0),"")</f>
        <v>400</v>
      </c>
      <c r="E16" s="13">
        <v>80</v>
      </c>
      <c r="F16" s="14">
        <f t="shared" si="0"/>
        <v>32000</v>
      </c>
      <c r="G16" s="3"/>
      <c r="H16" s="3"/>
    </row>
    <row r="17" spans="2:8" x14ac:dyDescent="0.25">
      <c r="B17" s="13" t="s">
        <v>82</v>
      </c>
      <c r="C17" s="13" t="str">
        <f>IFERROR(VLOOKUP(B17,商品名單[#All],2,0),"")</f>
        <v>冰茶</v>
      </c>
      <c r="D17" s="14">
        <f>IFERROR(VLOOKUP(C17,商品名單[[商品名]:[金額]],2,0),"")</f>
        <v>450</v>
      </c>
      <c r="E17" s="13">
        <v>70</v>
      </c>
      <c r="F17" s="14">
        <f t="shared" si="0"/>
        <v>31500</v>
      </c>
      <c r="G17" s="3"/>
      <c r="H17" s="3"/>
    </row>
    <row r="18" spans="2:8" ht="16.5" thickBot="1" x14ac:dyDescent="0.3">
      <c r="B18" s="13" t="s">
        <v>87</v>
      </c>
      <c r="C18" s="13" t="str">
        <f>IFERROR(VLOOKUP(B18,商品名單[#All],2,0),"")</f>
        <v>抹茶</v>
      </c>
      <c r="D18" s="14">
        <f>IFERROR(VLOOKUP(C18,商品名單[[商品名]:[金額]],2,0),"")</f>
        <v>500</v>
      </c>
      <c r="E18" s="13">
        <v>60</v>
      </c>
      <c r="F18" s="14">
        <f t="shared" si="0"/>
        <v>30000</v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138000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11040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149040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6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10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12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14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15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16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17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8" type="noConversion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7"/>
  <sheetViews>
    <sheetView workbookViewId="0">
      <selection activeCell="C13" sqref="C13"/>
    </sheetView>
  </sheetViews>
  <sheetFormatPr defaultRowHeight="15.75" x14ac:dyDescent="0.25"/>
  <cols>
    <col min="2" max="2" width="11" bestFit="1" customWidth="1"/>
    <col min="3" max="3" width="11.42578125" customWidth="1"/>
    <col min="4" max="4" width="19.140625" bestFit="1" customWidth="1"/>
    <col min="5" max="5" width="13" bestFit="1" customWidth="1"/>
    <col min="7" max="7" width="9" bestFit="1" customWidth="1"/>
    <col min="8" max="8" width="15.42578125" customWidth="1"/>
    <col min="9" max="9" width="7" customWidth="1"/>
    <col min="10" max="10" width="7.28515625" customWidth="1"/>
    <col min="11" max="11" width="12.42578125" style="2" customWidth="1"/>
  </cols>
  <sheetData>
    <row r="2" spans="2:11" x14ac:dyDescent="0.25">
      <c r="B2" s="12" t="s">
        <v>29</v>
      </c>
      <c r="C2" s="12" t="s">
        <v>30</v>
      </c>
      <c r="D2" s="12" t="s">
        <v>31</v>
      </c>
      <c r="E2" s="12" t="s">
        <v>32</v>
      </c>
      <c r="F2" s="12" t="s">
        <v>33</v>
      </c>
      <c r="G2" s="12" t="s">
        <v>34</v>
      </c>
      <c r="H2" s="12" t="s">
        <v>35</v>
      </c>
      <c r="I2" s="21" t="s">
        <v>36</v>
      </c>
      <c r="J2" s="12" t="s">
        <v>37</v>
      </c>
      <c r="K2" s="21" t="s">
        <v>3</v>
      </c>
    </row>
    <row r="3" spans="2:11" x14ac:dyDescent="0.25">
      <c r="C3" s="1"/>
    </row>
    <row r="4" spans="2:11" x14ac:dyDescent="0.25">
      <c r="C4" s="1"/>
    </row>
    <row r="5" spans="2:11" x14ac:dyDescent="0.25">
      <c r="C5" s="1"/>
    </row>
    <row r="6" spans="2:11" x14ac:dyDescent="0.25">
      <c r="C6" s="1"/>
    </row>
    <row r="7" spans="2:11" x14ac:dyDescent="0.25">
      <c r="C7" s="1"/>
    </row>
    <row r="8" spans="2:11" x14ac:dyDescent="0.25">
      <c r="C8" s="1"/>
    </row>
    <row r="9" spans="2:11" x14ac:dyDescent="0.25">
      <c r="C9" s="1"/>
    </row>
    <row r="10" spans="2:11" x14ac:dyDescent="0.25">
      <c r="C10" s="1"/>
    </row>
    <row r="11" spans="2:11" x14ac:dyDescent="0.25">
      <c r="C11" s="1"/>
    </row>
    <row r="12" spans="2:11" x14ac:dyDescent="0.25">
      <c r="C12" s="1"/>
    </row>
    <row r="13" spans="2:11" x14ac:dyDescent="0.25">
      <c r="C13" s="1"/>
    </row>
    <row r="14" spans="2:11" x14ac:dyDescent="0.25">
      <c r="C14" s="1"/>
    </row>
    <row r="15" spans="2:11" x14ac:dyDescent="0.25">
      <c r="C15" s="1"/>
    </row>
    <row r="16" spans="2:11" x14ac:dyDescent="0.25">
      <c r="C16" s="1"/>
    </row>
    <row r="17" spans="3:3" x14ac:dyDescent="0.25">
      <c r="C17" s="1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5</vt:i4>
      </vt:variant>
    </vt:vector>
  </HeadingPairs>
  <TitlesOfParts>
    <vt:vector size="11" baseType="lpstr">
      <vt:lpstr>報價單表單</vt:lpstr>
      <vt:lpstr>1月熱呼呼</vt:lpstr>
      <vt:lpstr>1月索尼</vt:lpstr>
      <vt:lpstr>1月秋本企業</vt:lpstr>
      <vt:lpstr>1月夏普</vt:lpstr>
      <vt:lpstr>歷史報價</vt:lpstr>
      <vt:lpstr>'1月秋本企業'!Print_Area</vt:lpstr>
      <vt:lpstr>'1月夏普'!Print_Area</vt:lpstr>
      <vt:lpstr>'1月索尼'!Print_Area</vt:lpstr>
      <vt:lpstr>'1月熱呼呼'!Print_Area</vt:lpstr>
      <vt:lpstr>報價單表單!Print_Area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cp:lastPrinted>2015-12-12T01:52:27Z</cp:lastPrinted>
  <dcterms:created xsi:type="dcterms:W3CDTF">2015-12-11T23:03:38Z</dcterms:created>
  <dcterms:modified xsi:type="dcterms:W3CDTF">2017-03-02T16:06:23Z</dcterms:modified>
</cp:coreProperties>
</file>