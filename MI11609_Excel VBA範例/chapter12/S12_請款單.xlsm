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1555" windowHeight="10290"/>
  </bookViews>
  <sheets>
    <sheet name="輸入" sheetId="1" r:id="rId1"/>
  </sheets>
  <definedNames>
    <definedName name="_xlnm.Print_Area" localSheetId="0">輸入!$B$2:$F$31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D15" i="1" l="1"/>
  <c r="F15" i="1" s="1"/>
  <c r="D16" i="1"/>
  <c r="F16" i="1" s="1"/>
  <c r="D17" i="1"/>
  <c r="D18" i="1"/>
  <c r="F18" i="1" s="1"/>
  <c r="D19" i="1"/>
  <c r="F19" i="1" s="1"/>
  <c r="D20" i="1"/>
  <c r="D21" i="1"/>
  <c r="F21" i="1" s="1"/>
  <c r="D22" i="1"/>
  <c r="F22" i="1" s="1"/>
  <c r="D23" i="1"/>
  <c r="F23" i="1" s="1"/>
  <c r="D14" i="1"/>
  <c r="F14" i="1" s="1"/>
  <c r="F17" i="1"/>
  <c r="F20" i="1"/>
  <c r="F24" i="1" l="1"/>
  <c r="F25" i="1" l="1"/>
  <c r="F26" i="1" s="1"/>
  <c r="C9" i="1" s="1"/>
</calcChain>
</file>

<file path=xl/sharedStrings.xml><?xml version="1.0" encoding="utf-8"?>
<sst xmlns="http://schemas.openxmlformats.org/spreadsheetml/2006/main" count="44" uniqueCount="44">
  <si>
    <t>商品</t>
    <rPh sb="0" eb="2">
      <t>ショウヒン</t>
    </rPh>
    <phoneticPr fontId="1"/>
  </si>
  <si>
    <t>摘要</t>
    <rPh sb="0" eb="2">
      <t>テキヨウ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</si>
  <si>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</si>
  <si>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</si>
  <si>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小計</t>
    <rPh sb="0" eb="2">
      <t>ショウケイ</t>
    </rPh>
    <phoneticPr fontId="1"/>
  </si>
  <si>
    <t>消費税</t>
    <rPh sb="0" eb="3">
      <t>ショウヒゼイ</t>
    </rPh>
    <phoneticPr fontId="1"/>
  </si>
  <si>
    <t>合計</t>
    <rPh sb="0" eb="2">
      <t>ゴウケイ</t>
    </rPh>
    <phoneticPr fontId="1"/>
  </si>
  <si>
    <t>電話：999-999-9999</t>
    <rPh sb="0" eb="2">
      <t>デンワ</t>
    </rPh>
    <phoneticPr fontId="1"/>
  </si>
  <si>
    <t>ID</t>
    <phoneticPr fontId="1"/>
  </si>
  <si>
    <t>商品名</t>
    <rPh sb="0" eb="3">
      <t>ショウヒンメイ</t>
    </rPh>
    <phoneticPr fontId="2"/>
  </si>
  <si>
    <t>商品ID</t>
    <rPh sb="0" eb="2">
      <t>ショウヒン</t>
    </rPh>
    <phoneticPr fontId="2"/>
  </si>
  <si>
    <t>A15</t>
  </si>
  <si>
    <t>A16</t>
  </si>
  <si>
    <t>B12</t>
  </si>
  <si>
    <t>B21</t>
  </si>
  <si>
    <t>件名</t>
    <rPh sb="0" eb="2">
      <t>ケンメイ</t>
    </rPh>
    <phoneticPr fontId="1"/>
  </si>
  <si>
    <t>金額</t>
    <rPh sb="0" eb="2">
      <t>キンガク</t>
    </rPh>
    <phoneticPr fontId="1"/>
  </si>
  <si>
    <t>金額</t>
    <rPh sb="0" eb="2">
      <t>キンガク</t>
    </rPh>
    <phoneticPr fontId="1"/>
  </si>
  <si>
    <t>A1:F31</t>
    <phoneticPr fontId="1"/>
  </si>
  <si>
    <t>報價單</t>
    <rPh sb="0" eb="3">
      <t>セイキュウショ</t>
    </rPh>
    <phoneticPr fontId="1"/>
  </si>
  <si>
    <t>傳票編號:</t>
    <rPh sb="0" eb="2">
      <t>デンピョウ</t>
    </rPh>
    <rPh sb="2" eb="4">
      <t>バンゴウ</t>
    </rPh>
    <phoneticPr fontId="1"/>
  </si>
  <si>
    <t>發行日:</t>
    <rPh sb="0" eb="2">
      <t>ハッコウ</t>
    </rPh>
    <rPh sb="2" eb="3">
      <t>ビ</t>
    </rPh>
    <phoneticPr fontId="1"/>
  </si>
  <si>
    <t>備註</t>
    <rPh sb="0" eb="2">
      <t>ビコウ</t>
    </rPh>
    <phoneticPr fontId="1"/>
  </si>
  <si>
    <t>桌上型PC等交貨</t>
    <rPh sb="0" eb="8">
      <t>ナドノウヒン</t>
    </rPh>
    <phoneticPr fontId="1"/>
  </si>
  <si>
    <t>桌上型電腦</t>
    <phoneticPr fontId="1"/>
  </si>
  <si>
    <t>筆記型電腦</t>
    <phoneticPr fontId="1"/>
  </si>
  <si>
    <t>股份有限　Sample○×</t>
    <rPh sb="0" eb="2">
      <t>カブシキ</t>
    </rPh>
    <rPh sb="2" eb="4">
      <t>カイシャ</t>
    </rPh>
    <phoneticPr fontId="1"/>
  </si>
  <si>
    <t>Sample調查中心</t>
    <phoneticPr fontId="1"/>
  </si>
  <si>
    <t>○○○-○○　××縣××市××</t>
    <rPh sb="10" eb="11">
      <t>ケン</t>
    </rPh>
    <rPh sb="13" eb="14">
      <t>シ</t>
    </rPh>
    <phoneticPr fontId="1"/>
  </si>
  <si>
    <t>列印・複製的儲存格範圍</t>
    <rPh sb="0" eb="2">
      <t>インサツハンイ</t>
    </rPh>
    <phoneticPr fontId="1"/>
  </si>
  <si>
    <t>客戶名稱</t>
    <rPh sb="0" eb="2">
      <t>トリヒキ</t>
    </rPh>
    <rPh sb="2" eb="3">
      <t>サキ</t>
    </rPh>
    <rPh sb="3" eb="4">
      <t>メイ</t>
    </rPh>
    <phoneticPr fontId="1"/>
  </si>
  <si>
    <t>■客戶名稱主表</t>
    <rPh sb="1" eb="3">
      <t>トリヒキ</t>
    </rPh>
    <rPh sb="3" eb="4">
      <t>サキ</t>
    </rPh>
    <phoneticPr fontId="1"/>
  </si>
  <si>
    <t>Sample建業</t>
    <rPh sb="4" eb="6">
      <t>ケンギョウ</t>
    </rPh>
    <phoneticPr fontId="1"/>
  </si>
  <si>
    <t>Sample調査中心</t>
    <rPh sb="4" eb="6">
      <t>チョウサ</t>
    </rPh>
    <phoneticPr fontId="1"/>
  </si>
  <si>
    <t>Sapmle商社</t>
    <rPh sb="4" eb="6">
      <t>ショウカイ</t>
    </rPh>
    <phoneticPr fontId="1"/>
  </si>
  <si>
    <t>Sapmle診所</t>
    <phoneticPr fontId="1"/>
  </si>
  <si>
    <t>SAM</t>
    <phoneticPr fontId="1"/>
  </si>
  <si>
    <t>■商品主表</t>
    <rPh sb="1" eb="3">
      <t>ショウヒン</t>
    </rPh>
    <phoneticPr fontId="1"/>
  </si>
  <si>
    <t>價格</t>
    <rPh sb="0" eb="2">
      <t>カカク</t>
    </rPh>
    <phoneticPr fontId="2"/>
  </si>
  <si>
    <t>桌上型電腦</t>
    <phoneticPr fontId="1"/>
  </si>
  <si>
    <t>筆記型電腦</t>
    <phoneticPr fontId="1"/>
  </si>
  <si>
    <t>印表機</t>
    <phoneticPr fontId="1"/>
  </si>
  <si>
    <t>列印・掃瞄複合機</t>
    <phoneticPr fontId="1"/>
  </si>
  <si>
    <t>列印・掃瞄複合機</t>
    <rPh sb="0" eb="8">
      <t>フクゴウキ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</si>
</sst>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[$-F800]dddd\,\ mmmm\ dd\,\ yyyy"/>
    <numFmt numFmtId="177" formatCode="@\ &quot;貴&quot;&quot;單&quot;&quot;位&quot;"/>
    <numFmt numFmtId="178" formatCode="#,##0&quot;元&quot;"/>
  </numFmts>
  <fonts count="14" x14ac:knownFonts="1"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b/>
      <sz val="11"/>
      <color theme="0"/>
      <name val="新細明體"/>
      <family val="2"/>
      <charset val="128"/>
      <scheme val="minor"/>
    </font>
    <font>
      <sz val="11"/>
      <color theme="8"/>
      <name val="新細明體"/>
      <family val="2"/>
      <charset val="128"/>
      <scheme val="minor"/>
    </font>
    <font>
      <b/>
      <sz val="10"/>
      <color theme="1"/>
      <name val="新細明體"/>
      <family val="3"/>
      <charset val="128"/>
      <scheme val="minor"/>
    </font>
    <font>
      <sz val="11"/>
      <color theme="0"/>
      <name val="新細明體"/>
      <family val="3"/>
      <charset val="128"/>
      <scheme val="minor"/>
    </font>
    <font>
      <b/>
      <sz val="12"/>
      <color theme="0"/>
      <name val="新細明體"/>
      <family val="3"/>
      <charset val="128"/>
      <scheme val="minor"/>
    </font>
    <font>
      <b/>
      <sz val="16"/>
      <color theme="1"/>
      <name val="新細明體"/>
      <family val="3"/>
      <charset val="128"/>
      <scheme val="minor"/>
    </font>
    <font>
      <b/>
      <sz val="16"/>
      <color theme="0"/>
      <name val="新細明體"/>
      <family val="3"/>
      <charset val="128"/>
      <scheme val="minor"/>
    </font>
    <font>
      <sz val="16"/>
      <color theme="1"/>
      <name val="新細明體"/>
      <family val="3"/>
      <charset val="128"/>
      <scheme val="minor"/>
    </font>
    <font>
      <sz val="10"/>
      <color theme="1"/>
      <name val="新細明體"/>
      <family val="3"/>
      <charset val="128"/>
      <scheme val="minor"/>
    </font>
    <font>
      <sz val="11"/>
      <color rgb="FF000000"/>
      <name val="細明體"/>
      <family val="3"/>
      <charset val="136"/>
    </font>
    <font>
      <sz val="11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3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medium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medium">
        <color theme="4"/>
      </right>
      <top style="medium">
        <color theme="4"/>
      </top>
      <bottom style="thin">
        <color theme="4"/>
      </bottom>
      <diagonal/>
    </border>
    <border>
      <left style="medium">
        <color theme="4"/>
      </left>
      <right/>
      <top style="thin">
        <color theme="4"/>
      </top>
      <bottom style="thin">
        <color theme="4"/>
      </bottom>
      <diagonal/>
    </border>
    <border>
      <left/>
      <right style="medium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 style="double">
        <color theme="4"/>
      </bottom>
      <diagonal/>
    </border>
    <border>
      <left/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8"/>
      </left>
      <right style="thin">
        <color theme="4"/>
      </right>
      <top style="thin">
        <color theme="8"/>
      </top>
      <bottom style="thin">
        <color theme="8"/>
      </bottom>
      <diagonal/>
    </border>
    <border>
      <left style="thin">
        <color theme="4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 style="medium">
        <color theme="4" tint="-0.499984740745262"/>
      </left>
      <right style="thin">
        <color theme="4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3" borderId="1" xfId="0" applyFont="1" applyFill="1" applyBorder="1">
      <alignment vertical="center"/>
    </xf>
    <xf numFmtId="0" fontId="0" fillId="3" borderId="3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4" borderId="7" xfId="0" applyFont="1" applyFill="1" applyBorder="1">
      <alignment vertical="center"/>
    </xf>
    <xf numFmtId="0" fontId="4" fillId="0" borderId="0" xfId="0" applyFont="1">
      <alignment vertical="center"/>
    </xf>
    <xf numFmtId="38" fontId="0" fillId="4" borderId="7" xfId="1" applyFont="1" applyFill="1" applyBorder="1">
      <alignment vertical="center"/>
    </xf>
    <xf numFmtId="38" fontId="0" fillId="0" borderId="7" xfId="1" applyFont="1" applyBorder="1">
      <alignment vertical="center"/>
    </xf>
    <xf numFmtId="38" fontId="0" fillId="0" borderId="10" xfId="1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38" fontId="0" fillId="0" borderId="19" xfId="1" applyFont="1" applyBorder="1">
      <alignment vertical="center"/>
    </xf>
    <xf numFmtId="38" fontId="0" fillId="0" borderId="21" xfId="1" applyFont="1" applyBorder="1">
      <alignment vertical="center"/>
    </xf>
    <xf numFmtId="38" fontId="0" fillId="0" borderId="20" xfId="1" applyFont="1" applyBorder="1">
      <alignment vertical="center"/>
    </xf>
    <xf numFmtId="0" fontId="3" fillId="5" borderId="4" xfId="0" applyFont="1" applyFill="1" applyBorder="1">
      <alignment vertical="center"/>
    </xf>
    <xf numFmtId="0" fontId="3" fillId="5" borderId="5" xfId="0" applyFont="1" applyFill="1" applyBorder="1">
      <alignment vertical="center"/>
    </xf>
    <xf numFmtId="0" fontId="6" fillId="5" borderId="5" xfId="0" applyFont="1" applyFill="1" applyBorder="1" applyAlignment="1">
      <alignment horizontal="right" vertical="center"/>
    </xf>
    <xf numFmtId="176" fontId="6" fillId="5" borderId="6" xfId="0" applyNumberFormat="1" applyFont="1" applyFill="1" applyBorder="1" applyAlignment="1">
      <alignment horizontal="left" vertical="center"/>
    </xf>
    <xf numFmtId="38" fontId="0" fillId="0" borderId="3" xfId="1" applyNumberFormat="1" applyFont="1" applyBorder="1">
      <alignment vertical="center"/>
    </xf>
    <xf numFmtId="0" fontId="3" fillId="2" borderId="24" xfId="0" applyFont="1" applyFill="1" applyBorder="1">
      <alignment vertical="center"/>
    </xf>
    <xf numFmtId="0" fontId="3" fillId="2" borderId="25" xfId="0" applyFont="1" applyFill="1" applyBorder="1">
      <alignment vertical="center"/>
    </xf>
    <xf numFmtId="0" fontId="3" fillId="2" borderId="26" xfId="0" applyFont="1" applyFill="1" applyBorder="1">
      <alignment vertical="center"/>
    </xf>
    <xf numFmtId="0" fontId="0" fillId="3" borderId="24" xfId="0" applyFont="1" applyFill="1" applyBorder="1">
      <alignment vertical="center"/>
    </xf>
    <xf numFmtId="0" fontId="0" fillId="3" borderId="25" xfId="0" applyFont="1" applyFill="1" applyBorder="1">
      <alignment vertical="center"/>
    </xf>
    <xf numFmtId="38" fontId="0" fillId="3" borderId="26" xfId="1" applyNumberFormat="1" applyFont="1" applyFill="1" applyBorder="1">
      <alignment vertical="center"/>
    </xf>
    <xf numFmtId="0" fontId="0" fillId="0" borderId="24" xfId="0" applyFont="1" applyBorder="1">
      <alignment vertical="center"/>
    </xf>
    <xf numFmtId="0" fontId="0" fillId="0" borderId="25" xfId="0" applyFont="1" applyBorder="1">
      <alignment vertical="center"/>
    </xf>
    <xf numFmtId="38" fontId="0" fillId="0" borderId="26" xfId="1" applyNumberFormat="1" applyFont="1" applyBorder="1">
      <alignment vertical="center"/>
    </xf>
    <xf numFmtId="0" fontId="0" fillId="3" borderId="26" xfId="0" applyFont="1" applyFill="1" applyBorder="1">
      <alignment vertical="center"/>
    </xf>
    <xf numFmtId="0" fontId="0" fillId="0" borderId="26" xfId="0" applyFont="1" applyBorder="1">
      <alignment vertical="center"/>
    </xf>
    <xf numFmtId="0" fontId="7" fillId="5" borderId="27" xfId="0" applyFont="1" applyFill="1" applyBorder="1">
      <alignment vertical="center"/>
    </xf>
    <xf numFmtId="0" fontId="3" fillId="5" borderId="7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1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9" fillId="5" borderId="31" xfId="0" applyFont="1" applyFill="1" applyBorder="1">
      <alignment vertical="center"/>
    </xf>
    <xf numFmtId="0" fontId="3" fillId="2" borderId="26" xfId="0" applyFont="1" applyFill="1" applyBorder="1" applyAlignment="1">
      <alignment horizontal="center" vertical="center"/>
    </xf>
    <xf numFmtId="0" fontId="0" fillId="3" borderId="26" xfId="0" applyFont="1" applyFill="1" applyBorder="1" applyAlignment="1">
      <alignment horizontal="center" vertical="center"/>
    </xf>
    <xf numFmtId="178" fontId="8" fillId="0" borderId="32" xfId="1" applyNumberFormat="1" applyFont="1" applyBorder="1">
      <alignment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177" fontId="10" fillId="0" borderId="10" xfId="0" applyNumberFormat="1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3" fillId="5" borderId="22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</cellXfs>
  <cellStyles count="2">
    <cellStyle name="一般" xfId="0" builtinId="0"/>
    <cellStyle name="千分位[0]" xfId="1" builtinId="6"/>
  </cellStyles>
  <dxfs count="1">
    <dxf>
      <border>
        <vertical style="thin">
          <color auto="1"/>
        </vertical>
      </border>
    </dxf>
  </dxfs>
  <tableStyles count="1" defaultPivotStyle="PivotStyleLight16">
    <tableStyle name="テーブル スタイル 1" pivot="0" count="1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確認後列印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將內容複製到其他工作表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8</xdr:col>
          <xdr:colOff>0</xdr:colOff>
          <xdr:row>9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列印複製到其他工作表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31"/>
  <sheetViews>
    <sheetView showGridLines="0" tabSelected="1" zoomScaleNormal="100" workbookViewId="0">
      <selection activeCell="N8" sqref="N8"/>
    </sheetView>
  </sheetViews>
  <sheetFormatPr defaultRowHeight="15.75" x14ac:dyDescent="0.25"/>
  <cols>
    <col min="1" max="1" width="3.42578125" customWidth="1"/>
    <col min="2" max="2" width="36.7109375" customWidth="1"/>
    <col min="3" max="3" width="27.7109375" customWidth="1"/>
    <col min="4" max="4" width="19" customWidth="1"/>
    <col min="6" max="6" width="15.42578125" customWidth="1"/>
    <col min="7" max="7" width="9.28515625" customWidth="1"/>
    <col min="8" max="9" width="25.42578125" customWidth="1"/>
    <col min="10" max="10" width="6" customWidth="1"/>
    <col min="11" max="11" width="32.7109375" customWidth="1"/>
    <col min="14" max="14" width="25.42578125" bestFit="1" customWidth="1"/>
    <col min="15" max="15" width="13.7109375" customWidth="1"/>
  </cols>
  <sheetData>
    <row r="1" spans="1:15" x14ac:dyDescent="0.25">
      <c r="E1" s="35" t="s">
        <v>20</v>
      </c>
      <c r="F1">
        <v>1</v>
      </c>
    </row>
    <row r="2" spans="1:15" x14ac:dyDescent="0.25">
      <c r="B2" s="17"/>
      <c r="C2" s="18"/>
      <c r="D2" s="18"/>
      <c r="E2" s="19" t="s">
        <v>21</v>
      </c>
      <c r="F2" s="20">
        <v>42379</v>
      </c>
      <c r="J2" t="s">
        <v>31</v>
      </c>
      <c r="M2" t="s">
        <v>37</v>
      </c>
    </row>
    <row r="3" spans="1:15" ht="21" x14ac:dyDescent="0.25">
      <c r="B3" s="45" t="s">
        <v>19</v>
      </c>
      <c r="C3" s="45"/>
      <c r="D3" s="45"/>
      <c r="E3" s="45"/>
      <c r="F3" s="45"/>
      <c r="J3" s="22" t="s">
        <v>8</v>
      </c>
      <c r="K3" s="24" t="s">
        <v>30</v>
      </c>
      <c r="M3" s="22" t="s">
        <v>10</v>
      </c>
      <c r="N3" s="23" t="s">
        <v>9</v>
      </c>
      <c r="O3" s="24" t="s">
        <v>38</v>
      </c>
    </row>
    <row r="4" spans="1:15" ht="21" x14ac:dyDescent="0.25">
      <c r="B4" s="46" t="s">
        <v>27</v>
      </c>
      <c r="C4" s="46"/>
      <c r="J4" s="25">
        <v>1</v>
      </c>
      <c r="K4" s="31" t="s">
        <v>32</v>
      </c>
      <c r="M4" s="25" t="s">
        <v>11</v>
      </c>
      <c r="N4" s="26" t="s">
        <v>39</v>
      </c>
      <c r="O4" s="27">
        <v>98000</v>
      </c>
    </row>
    <row r="5" spans="1:15" x14ac:dyDescent="0.25">
      <c r="D5" s="47" t="s">
        <v>26</v>
      </c>
      <c r="E5" s="47"/>
      <c r="F5" s="47"/>
      <c r="J5" s="28">
        <v>2</v>
      </c>
      <c r="K5" s="32" t="s">
        <v>33</v>
      </c>
      <c r="M5" s="28" t="s">
        <v>12</v>
      </c>
      <c r="N5" s="29" t="s">
        <v>40</v>
      </c>
      <c r="O5" s="30">
        <v>148000</v>
      </c>
    </row>
    <row r="6" spans="1:15" x14ac:dyDescent="0.25">
      <c r="D6" s="47" t="s">
        <v>28</v>
      </c>
      <c r="E6" s="47"/>
      <c r="F6" s="47"/>
      <c r="J6" s="25">
        <v>3</v>
      </c>
      <c r="K6" s="31" t="s">
        <v>34</v>
      </c>
      <c r="M6" s="25" t="s">
        <v>13</v>
      </c>
      <c r="N6" s="26" t="s">
        <v>41</v>
      </c>
      <c r="O6" s="27">
        <v>8200</v>
      </c>
    </row>
    <row r="7" spans="1:15" x14ac:dyDescent="0.25">
      <c r="D7" s="47" t="s">
        <v>7</v>
      </c>
      <c r="E7" s="47"/>
      <c r="F7" s="47"/>
      <c r="J7" s="28">
        <v>4</v>
      </c>
      <c r="K7" s="32" t="s">
        <v>35</v>
      </c>
      <c r="M7" s="1" t="s">
        <v>14</v>
      </c>
      <c r="N7" s="2" t="s">
        <v>43</v>
      </c>
      <c r="O7" s="21">
        <v>18000</v>
      </c>
    </row>
    <row r="8" spans="1:15" ht="16.5" thickBot="1" x14ac:dyDescent="0.3">
      <c r="B8" s="36" t="str">
        <f>C11 &amp; "事誼，如下所示記載"</f>
        <v>桌上型PC等交貨事誼，如下所示記載</v>
      </c>
      <c r="C8" s="37"/>
      <c r="J8" s="3">
        <v>5</v>
      </c>
      <c r="K8" s="4" t="s">
        <v>36</v>
      </c>
    </row>
    <row r="9" spans="1:15" ht="36.75" customHeight="1" thickBot="1" x14ac:dyDescent="0.3">
      <c r="B9" s="38" t="s">
        <v>16</v>
      </c>
      <c r="C9" s="41">
        <f>F26</f>
        <v>656640</v>
      </c>
    </row>
    <row r="11" spans="1:15" ht="16.5" x14ac:dyDescent="0.25">
      <c r="B11" s="33" t="s">
        <v>15</v>
      </c>
      <c r="C11" s="42" t="s">
        <v>23</v>
      </c>
      <c r="D11" s="43"/>
      <c r="E11" s="43"/>
      <c r="F11" s="44"/>
    </row>
    <row r="12" spans="1:15" x14ac:dyDescent="0.25">
      <c r="H12" s="39" t="s">
        <v>29</v>
      </c>
    </row>
    <row r="13" spans="1:15" x14ac:dyDescent="0.25">
      <c r="B13" s="34" t="s">
        <v>0</v>
      </c>
      <c r="C13" s="34" t="s">
        <v>1</v>
      </c>
      <c r="D13" s="34" t="s">
        <v>2</v>
      </c>
      <c r="E13" s="34" t="s">
        <v>3</v>
      </c>
      <c r="F13" s="34" t="s">
        <v>17</v>
      </c>
      <c r="H13" s="40" t="s">
        <v>18</v>
      </c>
    </row>
    <row r="14" spans="1:15" x14ac:dyDescent="0.25">
      <c r="A14" s="7">
        <v>1</v>
      </c>
      <c r="B14" s="6" t="s">
        <v>24</v>
      </c>
      <c r="C14" s="6"/>
      <c r="D14" s="8">
        <f>IFERROR(VLOOKUP(B14,$N$3:$O$7,2,FALSE),"")</f>
        <v>98000</v>
      </c>
      <c r="E14" s="6">
        <v>3</v>
      </c>
      <c r="F14" s="8">
        <f t="shared" ref="F14:F23" si="0">IFERROR(D14*E14,"")</f>
        <v>294000</v>
      </c>
    </row>
    <row r="15" spans="1:15" x14ac:dyDescent="0.25">
      <c r="A15" s="7">
        <v>2</v>
      </c>
      <c r="B15" s="5" t="s">
        <v>25</v>
      </c>
      <c r="C15" s="5"/>
      <c r="D15" s="9">
        <f t="shared" ref="D15:D23" si="1">IFERROR(VLOOKUP(B15,$N$3:$O$7,2,FALSE),"")</f>
        <v>148000</v>
      </c>
      <c r="E15" s="5">
        <v>2</v>
      </c>
      <c r="F15" s="9">
        <f t="shared" si="0"/>
        <v>296000</v>
      </c>
    </row>
    <row r="16" spans="1:15" x14ac:dyDescent="0.25">
      <c r="A16" s="7">
        <v>3</v>
      </c>
      <c r="B16" s="6" t="s">
        <v>42</v>
      </c>
      <c r="C16" s="6"/>
      <c r="D16" s="8">
        <f t="shared" si="1"/>
        <v>18000</v>
      </c>
      <c r="E16" s="6">
        <v>1</v>
      </c>
      <c r="F16" s="8">
        <f t="shared" si="0"/>
        <v>18000</v>
      </c>
    </row>
    <row r="17" spans="1:6" x14ac:dyDescent="0.25">
      <c r="A17" s="7">
        <v>4</v>
      </c>
      <c r="B17" s="5"/>
      <c r="C17" s="5"/>
      <c r="D17" s="9" t="str">
        <f t="shared" si="1"/>
        <v/>
      </c>
      <c r="E17" s="5"/>
      <c r="F17" s="9" t="str">
        <f t="shared" si="0"/>
        <v/>
      </c>
    </row>
    <row r="18" spans="1:6" x14ac:dyDescent="0.25">
      <c r="A18" s="7">
        <v>5</v>
      </c>
      <c r="B18" s="6"/>
      <c r="C18" s="6"/>
      <c r="D18" s="8" t="str">
        <f t="shared" si="1"/>
        <v/>
      </c>
      <c r="E18" s="6"/>
      <c r="F18" s="8" t="str">
        <f t="shared" si="0"/>
        <v/>
      </c>
    </row>
    <row r="19" spans="1:6" x14ac:dyDescent="0.25">
      <c r="A19" s="7">
        <v>6</v>
      </c>
      <c r="B19" s="5"/>
      <c r="C19" s="5"/>
      <c r="D19" s="9" t="str">
        <f t="shared" si="1"/>
        <v/>
      </c>
      <c r="E19" s="5"/>
      <c r="F19" s="9" t="str">
        <f t="shared" si="0"/>
        <v/>
      </c>
    </row>
    <row r="20" spans="1:6" x14ac:dyDescent="0.25">
      <c r="A20" s="7">
        <v>7</v>
      </c>
      <c r="B20" s="6"/>
      <c r="C20" s="6"/>
      <c r="D20" s="8" t="str">
        <f t="shared" si="1"/>
        <v/>
      </c>
      <c r="E20" s="6"/>
      <c r="F20" s="8" t="str">
        <f t="shared" si="0"/>
        <v/>
      </c>
    </row>
    <row r="21" spans="1:6" x14ac:dyDescent="0.25">
      <c r="A21" s="7">
        <v>8</v>
      </c>
      <c r="B21" s="5"/>
      <c r="C21" s="5"/>
      <c r="D21" s="9" t="str">
        <f t="shared" si="1"/>
        <v/>
      </c>
      <c r="E21" s="5"/>
      <c r="F21" s="9" t="str">
        <f t="shared" si="0"/>
        <v/>
      </c>
    </row>
    <row r="22" spans="1:6" x14ac:dyDescent="0.25">
      <c r="A22" s="7">
        <v>9</v>
      </c>
      <c r="B22" s="6"/>
      <c r="C22" s="6"/>
      <c r="D22" s="8" t="str">
        <f t="shared" si="1"/>
        <v/>
      </c>
      <c r="E22" s="6"/>
      <c r="F22" s="8" t="str">
        <f t="shared" si="0"/>
        <v/>
      </c>
    </row>
    <row r="23" spans="1:6" ht="16.5" thickBot="1" x14ac:dyDescent="0.3">
      <c r="A23" s="7">
        <v>10</v>
      </c>
      <c r="B23" s="5"/>
      <c r="C23" s="5"/>
      <c r="D23" s="9" t="str">
        <f t="shared" si="1"/>
        <v/>
      </c>
      <c r="E23" s="5"/>
      <c r="F23" s="14" t="str">
        <f t="shared" si="0"/>
        <v/>
      </c>
    </row>
    <row r="24" spans="1:6" ht="17.25" thickTop="1" thickBot="1" x14ac:dyDescent="0.3">
      <c r="D24" s="54" t="s">
        <v>4</v>
      </c>
      <c r="E24" s="55"/>
      <c r="F24" s="16">
        <f>SUM(F14:F23)</f>
        <v>608000</v>
      </c>
    </row>
    <row r="25" spans="1:6" ht="17.25" thickTop="1" thickBot="1" x14ac:dyDescent="0.3">
      <c r="D25" s="56" t="s">
        <v>5</v>
      </c>
      <c r="E25" s="56"/>
      <c r="F25" s="15">
        <f>ROUND(F24*0.08,0)</f>
        <v>48640</v>
      </c>
    </row>
    <row r="26" spans="1:6" ht="16.5" thickTop="1" x14ac:dyDescent="0.25">
      <c r="D26" s="57" t="s">
        <v>6</v>
      </c>
      <c r="E26" s="58"/>
      <c r="F26" s="10">
        <f>SUM(F24:F25)</f>
        <v>656640</v>
      </c>
    </row>
    <row r="27" spans="1:6" ht="16.5" thickBot="1" x14ac:dyDescent="0.3">
      <c r="B27" t="s">
        <v>22</v>
      </c>
    </row>
    <row r="28" spans="1:6" x14ac:dyDescent="0.25">
      <c r="B28" s="48"/>
      <c r="C28" s="49"/>
      <c r="D28" s="49"/>
      <c r="E28" s="49"/>
      <c r="F28" s="50"/>
    </row>
    <row r="29" spans="1:6" x14ac:dyDescent="0.25">
      <c r="B29" s="51"/>
      <c r="C29" s="52"/>
      <c r="D29" s="52"/>
      <c r="E29" s="52"/>
      <c r="F29" s="53"/>
    </row>
    <row r="30" spans="1:6" x14ac:dyDescent="0.25">
      <c r="B30" s="51"/>
      <c r="C30" s="52"/>
      <c r="D30" s="52"/>
      <c r="E30" s="52"/>
      <c r="F30" s="53"/>
    </row>
    <row r="31" spans="1:6" ht="16.5" thickBot="1" x14ac:dyDescent="0.3">
      <c r="B31" s="11"/>
      <c r="C31" s="12"/>
      <c r="D31" s="12"/>
      <c r="E31" s="12"/>
      <c r="F31" s="13"/>
    </row>
  </sheetData>
  <mergeCells count="12">
    <mergeCell ref="B28:F28"/>
    <mergeCell ref="B29:F29"/>
    <mergeCell ref="B30:F30"/>
    <mergeCell ref="D24:E24"/>
    <mergeCell ref="D25:E25"/>
    <mergeCell ref="D26:E26"/>
    <mergeCell ref="C11:F11"/>
    <mergeCell ref="B3:F3"/>
    <mergeCell ref="B4:C4"/>
    <mergeCell ref="D5:F5"/>
    <mergeCell ref="D6:F6"/>
    <mergeCell ref="D7:F7"/>
  </mergeCells>
  <phoneticPr fontId="1"/>
  <pageMargins left="0.7" right="0.7" top="0.75" bottom="0.75" header="0.3" footer="0.3"/>
  <pageSetup paperSize="9" scale="74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heckAndPrint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opyRangeToNewSheet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rintAndCopy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輸入</vt:lpstr>
      <vt:lpstr>輸入!Print_Area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ivenss</cp:lastModifiedBy>
  <cp:lastPrinted>2015-12-18T00:19:03Z</cp:lastPrinted>
  <dcterms:created xsi:type="dcterms:W3CDTF">2015-12-06T23:48:22Z</dcterms:created>
  <dcterms:modified xsi:type="dcterms:W3CDTF">2017-03-16T01:07:44Z</dcterms:modified>
</cp:coreProperties>
</file>