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cel\Google 雲端硬碟\★7書籍相關\★日文vba\Excel VBA範例\chapter12\"/>
    </mc:Choice>
  </mc:AlternateContent>
  <bookViews>
    <workbookView xWindow="0" yWindow="0" windowWidth="19245" windowHeight="8670"/>
  </bookViews>
  <sheets>
    <sheet name="行程管理表" sheetId="1" r:id="rId1"/>
    <sheet name="MATCH工作表函數的架構" sheetId="3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3" l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</calcChain>
</file>

<file path=xl/sharedStrings.xml><?xml version="1.0" encoding="utf-8"?>
<sst xmlns="http://schemas.openxmlformats.org/spreadsheetml/2006/main" count="21" uniqueCount="21">
  <si>
    <t>工程管理表</t>
    <rPh sb="0" eb="2">
      <t>コウテイ</t>
    </rPh>
    <rPh sb="2" eb="4">
      <t>カンリ</t>
    </rPh>
    <rPh sb="4" eb="5">
      <t>ヒョウ</t>
    </rPh>
    <phoneticPr fontId="1"/>
  </si>
  <si>
    <t>ID</t>
    <phoneticPr fontId="1"/>
  </si>
  <si>
    <t>作業</t>
    <rPh sb="0" eb="2">
      <t>サギョウ</t>
    </rPh>
    <phoneticPr fontId="1"/>
  </si>
  <si>
    <t>開始日</t>
    <rPh sb="0" eb="3">
      <t>カイシビ</t>
    </rPh>
    <phoneticPr fontId="1"/>
  </si>
  <si>
    <t>設計</t>
    <rPh sb="0" eb="2">
      <t>セッケイ</t>
    </rPh>
    <phoneticPr fontId="1"/>
  </si>
  <si>
    <t>修正</t>
    <rPh sb="0" eb="2">
      <t>シュウセイ</t>
    </rPh>
    <phoneticPr fontId="1"/>
  </si>
  <si>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</si>
  <si>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</si>
  <si>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</si>
  <si>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SAM系統建立</t>
    <rPh sb="0" eb="7">
      <t>サクセイ</t>
    </rPh>
    <phoneticPr fontId="1"/>
  </si>
  <si>
    <t>顏色</t>
    <rPh sb="0" eb="1">
      <t>イロ</t>
    </rPh>
    <phoneticPr fontId="1"/>
  </si>
  <si>
    <t>結束日</t>
    <rPh sb="0" eb="3">
      <t>シュウリョウビ</t>
    </rPh>
    <phoneticPr fontId="1"/>
  </si>
  <si>
    <t>會議・需求討論</t>
    <rPh sb="0" eb="1">
      <t>ウ</t>
    </rPh>
    <rPh sb="2" eb="3">
      <t>アヨウケンアラダ</t>
    </rPh>
    <phoneticPr fontId="1"/>
  </si>
  <si>
    <t>設備安排</t>
    <rPh sb="0" eb="2">
      <t>キザイ</t>
    </rPh>
    <rPh sb="2" eb="4">
      <t>テハイ</t>
    </rPh>
    <phoneticPr fontId="1"/>
  </si>
  <si>
    <t>代碼建立</t>
    <rPh sb="0" eb="4">
      <t>サクセイ</t>
    </rPh>
    <phoneticPr fontId="1"/>
  </si>
  <si>
    <t>檢查</t>
    <rPh sb="0" eb="2">
      <t>ケンサ</t>
    </rPh>
    <phoneticPr fontId="1"/>
  </si>
  <si>
    <t>備　註</t>
    <rPh sb="0" eb="1">
      <t>ビ</t>
    </rPh>
    <rPh sb="2" eb="3">
      <t>コウ</t>
    </rPh>
    <phoneticPr fontId="1"/>
  </si>
  <si>
    <t>星期</t>
    <rPh sb="0" eb="1">
      <t>ヨウ</t>
    </rPh>
    <phoneticPr fontId="1"/>
  </si>
  <si>
    <t>■日期的清單</t>
    <rPh sb="1" eb="3">
      <t>ヒヅケ</t>
    </rPh>
    <phoneticPr fontId="1"/>
  </si>
  <si>
    <t>■想判斷的日期</t>
    <rPh sb="1" eb="3">
      <t>ハンテイヒヅケ</t>
    </rPh>
    <phoneticPr fontId="1"/>
  </si>
  <si>
    <t>■日期的位置</t>
    <rPh sb="1" eb="3">
      <t>ヒヅケ</t>
    </rPh>
    <rPh sb="4" eb="6">
      <t>イチ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</si>
</sst>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aaa"/>
    <numFmt numFmtId="177" formatCode="m&quot;月&quot;d&quot;日&quot;;@"/>
  </numFmts>
  <fonts count="9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20"/>
      <color theme="0"/>
      <name val="メイリオ"/>
      <family val="3"/>
      <charset val="128"/>
    </font>
    <font>
      <sz val="11"/>
      <color rgb="FF000000"/>
      <name val="新細明體"/>
      <family val="1"/>
      <charset val="136"/>
    </font>
    <font>
      <sz val="14"/>
      <color theme="0"/>
      <name val="微軟正黑體"/>
      <family val="2"/>
      <charset val="136"/>
    </font>
    <font>
      <sz val="11"/>
      <color theme="4" tint="-0.249977111117893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1"/>
      <color theme="4" tint="-0.249977111117893"/>
      <name val="微軟正黑體"/>
      <family val="2"/>
      <charset val="136"/>
    </font>
    <font>
      <sz val="20"/>
      <color theme="0"/>
      <name val="微軟正黑體"/>
      <family val="2"/>
      <charset val="136"/>
    </font>
  </fonts>
  <fills count="1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806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/>
      <right/>
      <top/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 style="thin">
        <color theme="8"/>
      </bottom>
      <diagonal/>
    </border>
    <border>
      <left style="medium">
        <color theme="8"/>
      </left>
      <right style="thin">
        <color theme="8"/>
      </right>
      <top style="thin">
        <color theme="8"/>
      </top>
      <bottom/>
      <diagonal/>
    </border>
    <border>
      <left style="medium">
        <color theme="8"/>
      </left>
      <right style="thin">
        <color theme="8"/>
      </right>
      <top/>
      <bottom style="thin">
        <color theme="8"/>
      </bottom>
      <diagonal/>
    </border>
    <border>
      <left style="medium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medium">
        <color theme="8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medium">
        <color theme="8"/>
      </right>
      <top style="thin">
        <color theme="8"/>
      </top>
      <bottom style="medium">
        <color theme="8"/>
      </bottom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theme="8"/>
      </left>
      <right/>
      <top style="thin">
        <color theme="8"/>
      </top>
      <bottom style="medium">
        <color theme="8"/>
      </bottom>
      <diagonal/>
    </border>
    <border>
      <left style="medium">
        <color theme="8"/>
      </left>
      <right style="thin">
        <color theme="8"/>
      </right>
      <top style="medium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medium">
        <color theme="8"/>
      </top>
      <bottom style="thin">
        <color theme="8"/>
      </bottom>
      <diagonal/>
    </border>
    <border>
      <left style="thin">
        <color theme="8"/>
      </left>
      <right style="medium">
        <color theme="8"/>
      </right>
      <top style="medium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medium">
        <color theme="8"/>
      </bottom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0" fillId="0" borderId="19" xfId="0" applyBorder="1">
      <alignment vertical="center"/>
    </xf>
    <xf numFmtId="0" fontId="0" fillId="0" borderId="0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0" xfId="0" applyNumberFormat="1">
      <alignment vertical="center"/>
    </xf>
    <xf numFmtId="0" fontId="4" fillId="5" borderId="8" xfId="0" applyFont="1" applyFill="1" applyBorder="1" applyAlignment="1">
      <alignment horizontal="left" vertical="center"/>
    </xf>
    <xf numFmtId="0" fontId="4" fillId="5" borderId="9" xfId="0" applyFont="1" applyFill="1" applyBorder="1" applyAlignment="1">
      <alignment horizontal="left" vertical="center"/>
    </xf>
    <xf numFmtId="0" fontId="5" fillId="3" borderId="26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0" fontId="6" fillId="0" borderId="0" xfId="0" applyFont="1">
      <alignment vertical="center"/>
    </xf>
    <xf numFmtId="0" fontId="4" fillId="5" borderId="11" xfId="0" applyFont="1" applyFill="1" applyBorder="1" applyAlignment="1">
      <alignment horizontal="left" vertical="center"/>
    </xf>
    <xf numFmtId="0" fontId="4" fillId="5" borderId="5" xfId="0" applyFont="1" applyFill="1" applyBorder="1" applyAlignment="1">
      <alignment horizontal="left" vertical="center"/>
    </xf>
    <xf numFmtId="0" fontId="5" fillId="3" borderId="14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15" xfId="0" applyFont="1" applyBorder="1" applyAlignment="1">
      <alignment horizontal="left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6" fillId="0" borderId="2" xfId="0" applyNumberFormat="1" applyFont="1" applyFill="1" applyBorder="1" applyAlignment="1">
      <alignment horizontal="center" vertical="center"/>
    </xf>
    <xf numFmtId="0" fontId="6" fillId="0" borderId="15" xfId="0" applyNumberFormat="1" applyFont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15" xfId="0" applyNumberFormat="1" applyFont="1" applyBorder="1" applyAlignment="1">
      <alignment horizontal="center" vertical="center"/>
    </xf>
    <xf numFmtId="0" fontId="6" fillId="0" borderId="14" xfId="0" applyFont="1" applyBorder="1">
      <alignment vertical="center"/>
    </xf>
    <xf numFmtId="0" fontId="6" fillId="0" borderId="2" xfId="0" applyFont="1" applyBorder="1">
      <alignment vertical="center"/>
    </xf>
    <xf numFmtId="0" fontId="6" fillId="6" borderId="29" xfId="0" applyFont="1" applyFill="1" applyBorder="1">
      <alignment vertical="center"/>
    </xf>
    <xf numFmtId="177" fontId="6" fillId="0" borderId="2" xfId="0" applyNumberFormat="1" applyFont="1" applyBorder="1">
      <alignment vertical="center"/>
    </xf>
    <xf numFmtId="177" fontId="6" fillId="0" borderId="24" xfId="0" applyNumberFormat="1" applyFont="1" applyBorder="1">
      <alignment vertical="center"/>
    </xf>
    <xf numFmtId="0" fontId="6" fillId="3" borderId="14" xfId="0" applyFont="1" applyFill="1" applyBorder="1">
      <alignment vertical="center"/>
    </xf>
    <xf numFmtId="0" fontId="6" fillId="12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7" borderId="29" xfId="0" applyFont="1" applyFill="1" applyBorder="1">
      <alignment vertical="center"/>
    </xf>
    <xf numFmtId="0" fontId="6" fillId="13" borderId="2" xfId="0" applyFont="1" applyFill="1" applyBorder="1" applyAlignment="1">
      <alignment horizontal="center" vertical="center"/>
    </xf>
    <xf numFmtId="0" fontId="6" fillId="9" borderId="29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6" fillId="10" borderId="29" xfId="0" applyFont="1" applyFill="1" applyBorder="1">
      <alignment vertical="center"/>
    </xf>
    <xf numFmtId="0" fontId="6" fillId="10" borderId="2" xfId="0" applyFont="1" applyFill="1" applyBorder="1" applyAlignment="1">
      <alignment horizontal="center" vertical="center"/>
    </xf>
    <xf numFmtId="0" fontId="6" fillId="8" borderId="29" xfId="0" applyFont="1" applyFill="1" applyBorder="1">
      <alignment vertical="center"/>
    </xf>
    <xf numFmtId="0" fontId="6" fillId="15" borderId="2" xfId="0" applyFont="1" applyFill="1" applyBorder="1" applyAlignment="1">
      <alignment horizontal="center" vertical="center"/>
    </xf>
    <xf numFmtId="0" fontId="6" fillId="11" borderId="29" xfId="0" applyFont="1" applyFill="1" applyBorder="1">
      <alignment vertical="center"/>
    </xf>
    <xf numFmtId="0" fontId="6" fillId="16" borderId="2" xfId="0" applyFont="1" applyFill="1" applyBorder="1" applyAlignment="1">
      <alignment horizontal="center" vertical="center"/>
    </xf>
    <xf numFmtId="0" fontId="6" fillId="16" borderId="15" xfId="0" applyFont="1" applyFill="1" applyBorder="1" applyAlignment="1">
      <alignment horizontal="center" vertical="center"/>
    </xf>
    <xf numFmtId="0" fontId="6" fillId="3" borderId="29" xfId="0" applyFont="1" applyFill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>
      <alignment vertical="center"/>
    </xf>
    <xf numFmtId="0" fontId="6" fillId="0" borderId="17" xfId="0" applyFont="1" applyBorder="1">
      <alignment vertical="center"/>
    </xf>
    <xf numFmtId="0" fontId="6" fillId="3" borderId="30" xfId="0" applyFont="1" applyFill="1" applyBorder="1">
      <alignment vertical="center"/>
    </xf>
    <xf numFmtId="177" fontId="6" fillId="0" borderId="17" xfId="0" applyNumberFormat="1" applyFont="1" applyBorder="1">
      <alignment vertical="center"/>
    </xf>
    <xf numFmtId="177" fontId="6" fillId="0" borderId="25" xfId="0" applyNumberFormat="1" applyFont="1" applyBorder="1">
      <alignment vertical="center"/>
    </xf>
    <xf numFmtId="0" fontId="6" fillId="3" borderId="16" xfId="0" applyFont="1" applyFill="1" applyBorder="1">
      <alignment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8" xfId="0" applyFont="1" applyBorder="1">
      <alignment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0" fontId="8" fillId="2" borderId="0" xfId="0" applyFont="1" applyFill="1">
      <alignment vertical="center"/>
    </xf>
    <xf numFmtId="56" fontId="6" fillId="18" borderId="0" xfId="0" applyNumberFormat="1" applyFont="1" applyFill="1">
      <alignment vertical="center"/>
    </xf>
    <xf numFmtId="56" fontId="6" fillId="18" borderId="1" xfId="0" applyNumberFormat="1" applyFont="1" applyFill="1" applyBorder="1">
      <alignment vertical="center"/>
    </xf>
    <xf numFmtId="56" fontId="6" fillId="17" borderId="0" xfId="0" applyNumberFormat="1" applyFont="1" applyFill="1">
      <alignment vertical="center"/>
    </xf>
    <xf numFmtId="0" fontId="6" fillId="17" borderId="0" xfId="0" applyFont="1" applyFill="1">
      <alignment vertical="center"/>
    </xf>
  </cellXfs>
  <cellStyles count="1">
    <cellStyle name="一般" xfId="0" builtinId="0"/>
  </cellStyles>
  <dxfs count="2">
    <dxf>
      <font>
        <color auto="1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</xdr:row>
          <xdr:rowOff>76200</xdr:rowOff>
        </xdr:from>
        <xdr:to>
          <xdr:col>6</xdr:col>
          <xdr:colOff>0</xdr:colOff>
          <xdr:row>1</xdr:row>
          <xdr:rowOff>447675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對選取範圍設定期間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20"/>
  <sheetViews>
    <sheetView showGridLines="0" tabSelected="1" zoomScale="85" zoomScaleNormal="85" workbookViewId="0">
      <pane xSplit="7" topLeftCell="H1" activePane="topRight" state="frozen"/>
      <selection pane="topRight" activeCell="R14" sqref="R14"/>
    </sheetView>
  </sheetViews>
  <sheetFormatPr defaultRowHeight="15.75"/>
  <cols>
    <col min="1" max="1" width="3.5703125" customWidth="1"/>
    <col min="2" max="2" width="5.5703125" customWidth="1"/>
    <col min="3" max="3" width="28.42578125" customWidth="1"/>
    <col min="4" max="4" width="6.28515625" bestFit="1" customWidth="1"/>
    <col min="5" max="6" width="12.5703125" customWidth="1"/>
    <col min="7" max="38" width="7.140625" customWidth="1"/>
  </cols>
  <sheetData>
    <row r="1" spans="1:39" ht="50.1" customHeight="1">
      <c r="A1" s="1"/>
      <c r="B1" s="66" t="s">
        <v>0</v>
      </c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</row>
    <row r="2" spans="1:39" ht="39.950000000000003" customHeight="1" thickBot="1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</row>
    <row r="3" spans="1:39" ht="20.100000000000001" customHeight="1">
      <c r="B3" s="10" t="s">
        <v>9</v>
      </c>
      <c r="C3" s="11"/>
      <c r="D3" s="11"/>
      <c r="E3" s="11"/>
      <c r="F3" s="11"/>
      <c r="G3" s="12" t="s">
        <v>6</v>
      </c>
      <c r="H3" s="13">
        <v>2015</v>
      </c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4"/>
      <c r="AM3" s="15"/>
    </row>
    <row r="4" spans="1:39" ht="20.100000000000001" customHeight="1">
      <c r="B4" s="16"/>
      <c r="C4" s="17"/>
      <c r="D4" s="17"/>
      <c r="E4" s="17"/>
      <c r="F4" s="17"/>
      <c r="G4" s="18" t="s">
        <v>7</v>
      </c>
      <c r="H4" s="19">
        <v>12</v>
      </c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20"/>
      <c r="AM4" s="15"/>
    </row>
    <row r="5" spans="1:39" ht="20.100000000000001" customHeight="1">
      <c r="B5" s="21" t="s">
        <v>1</v>
      </c>
      <c r="C5" s="22" t="s">
        <v>2</v>
      </c>
      <c r="D5" s="22" t="s">
        <v>10</v>
      </c>
      <c r="E5" s="22" t="s">
        <v>3</v>
      </c>
      <c r="F5" s="23" t="s">
        <v>11</v>
      </c>
      <c r="G5" s="24" t="s">
        <v>8</v>
      </c>
      <c r="H5" s="25">
        <v>1</v>
      </c>
      <c r="I5" s="25">
        <v>2</v>
      </c>
      <c r="J5" s="25">
        <v>3</v>
      </c>
      <c r="K5" s="25">
        <v>4</v>
      </c>
      <c r="L5" s="25">
        <v>5</v>
      </c>
      <c r="M5" s="25">
        <v>6</v>
      </c>
      <c r="N5" s="25">
        <v>7</v>
      </c>
      <c r="O5" s="25">
        <v>8</v>
      </c>
      <c r="P5" s="25">
        <v>9</v>
      </c>
      <c r="Q5" s="25">
        <v>10</v>
      </c>
      <c r="R5" s="25">
        <v>11</v>
      </c>
      <c r="S5" s="25">
        <v>12</v>
      </c>
      <c r="T5" s="25">
        <v>13</v>
      </c>
      <c r="U5" s="25">
        <v>14</v>
      </c>
      <c r="V5" s="25">
        <v>15</v>
      </c>
      <c r="W5" s="25">
        <v>16</v>
      </c>
      <c r="X5" s="25">
        <v>17</v>
      </c>
      <c r="Y5" s="25">
        <v>18</v>
      </c>
      <c r="Z5" s="25">
        <v>19</v>
      </c>
      <c r="AA5" s="25">
        <v>20</v>
      </c>
      <c r="AB5" s="25">
        <v>21</v>
      </c>
      <c r="AC5" s="25">
        <v>22</v>
      </c>
      <c r="AD5" s="25">
        <v>23</v>
      </c>
      <c r="AE5" s="25">
        <v>24</v>
      </c>
      <c r="AF5" s="25">
        <v>25</v>
      </c>
      <c r="AG5" s="25">
        <v>26</v>
      </c>
      <c r="AH5" s="25">
        <v>27</v>
      </c>
      <c r="AI5" s="25">
        <v>28</v>
      </c>
      <c r="AJ5" s="25">
        <v>29</v>
      </c>
      <c r="AK5" s="25">
        <v>30</v>
      </c>
      <c r="AL5" s="26">
        <v>31</v>
      </c>
      <c r="AM5" s="15">
        <v>1</v>
      </c>
    </row>
    <row r="6" spans="1:39" ht="20.100000000000001" customHeight="1">
      <c r="B6" s="27"/>
      <c r="C6" s="28"/>
      <c r="D6" s="28"/>
      <c r="E6" s="28"/>
      <c r="F6" s="29"/>
      <c r="G6" s="18" t="s">
        <v>17</v>
      </c>
      <c r="H6" s="30">
        <f>DATE($H$3,$H$4,H5)</f>
        <v>42339</v>
      </c>
      <c r="I6" s="30">
        <f t="shared" ref="I6:AL6" si="0">DATE($H$3,$H$4,I5)</f>
        <v>42340</v>
      </c>
      <c r="J6" s="30">
        <f t="shared" si="0"/>
        <v>42341</v>
      </c>
      <c r="K6" s="30">
        <f t="shared" si="0"/>
        <v>42342</v>
      </c>
      <c r="L6" s="30">
        <f t="shared" si="0"/>
        <v>42343</v>
      </c>
      <c r="M6" s="30">
        <f t="shared" si="0"/>
        <v>42344</v>
      </c>
      <c r="N6" s="30">
        <f t="shared" si="0"/>
        <v>42345</v>
      </c>
      <c r="O6" s="30">
        <f t="shared" si="0"/>
        <v>42346</v>
      </c>
      <c r="P6" s="30">
        <f t="shared" si="0"/>
        <v>42347</v>
      </c>
      <c r="Q6" s="30">
        <f t="shared" si="0"/>
        <v>42348</v>
      </c>
      <c r="R6" s="30">
        <f t="shared" si="0"/>
        <v>42349</v>
      </c>
      <c r="S6" s="30">
        <f t="shared" si="0"/>
        <v>42350</v>
      </c>
      <c r="T6" s="30">
        <f t="shared" si="0"/>
        <v>42351</v>
      </c>
      <c r="U6" s="30">
        <f t="shared" si="0"/>
        <v>42352</v>
      </c>
      <c r="V6" s="30">
        <f t="shared" si="0"/>
        <v>42353</v>
      </c>
      <c r="W6" s="30">
        <f t="shared" si="0"/>
        <v>42354</v>
      </c>
      <c r="X6" s="30">
        <f t="shared" si="0"/>
        <v>42355</v>
      </c>
      <c r="Y6" s="30">
        <f t="shared" si="0"/>
        <v>42356</v>
      </c>
      <c r="Z6" s="30">
        <f t="shared" si="0"/>
        <v>42357</v>
      </c>
      <c r="AA6" s="30">
        <f t="shared" si="0"/>
        <v>42358</v>
      </c>
      <c r="AB6" s="30">
        <f t="shared" si="0"/>
        <v>42359</v>
      </c>
      <c r="AC6" s="30">
        <f t="shared" si="0"/>
        <v>42360</v>
      </c>
      <c r="AD6" s="30">
        <f t="shared" si="0"/>
        <v>42361</v>
      </c>
      <c r="AE6" s="30">
        <f t="shared" si="0"/>
        <v>42362</v>
      </c>
      <c r="AF6" s="30">
        <f t="shared" si="0"/>
        <v>42363</v>
      </c>
      <c r="AG6" s="30">
        <f t="shared" si="0"/>
        <v>42364</v>
      </c>
      <c r="AH6" s="30">
        <f t="shared" si="0"/>
        <v>42365</v>
      </c>
      <c r="AI6" s="30">
        <f t="shared" si="0"/>
        <v>42366</v>
      </c>
      <c r="AJ6" s="30">
        <f t="shared" si="0"/>
        <v>42367</v>
      </c>
      <c r="AK6" s="30">
        <f t="shared" si="0"/>
        <v>42368</v>
      </c>
      <c r="AL6" s="31">
        <f t="shared" si="0"/>
        <v>42369</v>
      </c>
      <c r="AM6" s="15"/>
    </row>
    <row r="7" spans="1:39" ht="24.95" customHeight="1">
      <c r="B7" s="32">
        <v>1</v>
      </c>
      <c r="C7" s="33" t="s">
        <v>12</v>
      </c>
      <c r="D7" s="34"/>
      <c r="E7" s="35">
        <v>42339</v>
      </c>
      <c r="F7" s="36">
        <v>42342</v>
      </c>
      <c r="G7" s="37"/>
      <c r="H7" s="38"/>
      <c r="I7" s="38"/>
      <c r="J7" s="38"/>
      <c r="K7" s="38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40"/>
      <c r="AM7" s="15"/>
    </row>
    <row r="8" spans="1:39" ht="24.95" customHeight="1">
      <c r="B8" s="32">
        <v>2</v>
      </c>
      <c r="C8" s="33" t="s">
        <v>4</v>
      </c>
      <c r="D8" s="41"/>
      <c r="E8" s="35">
        <v>42341</v>
      </c>
      <c r="F8" s="36">
        <v>42349</v>
      </c>
      <c r="G8" s="37"/>
      <c r="H8" s="39"/>
      <c r="I8" s="39"/>
      <c r="J8" s="42"/>
      <c r="K8" s="42"/>
      <c r="L8" s="42"/>
      <c r="M8" s="42"/>
      <c r="N8" s="42"/>
      <c r="O8" s="42"/>
      <c r="P8" s="42"/>
      <c r="Q8" s="42"/>
      <c r="R8" s="42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40"/>
      <c r="AM8" s="15"/>
    </row>
    <row r="9" spans="1:39" ht="24.95" customHeight="1">
      <c r="B9" s="32">
        <v>3</v>
      </c>
      <c r="C9" s="33" t="s">
        <v>13</v>
      </c>
      <c r="D9" s="43"/>
      <c r="E9" s="35">
        <v>42345</v>
      </c>
      <c r="F9" s="36">
        <v>42356</v>
      </c>
      <c r="G9" s="37"/>
      <c r="H9" s="39"/>
      <c r="I9" s="39"/>
      <c r="J9" s="39"/>
      <c r="K9" s="39"/>
      <c r="L9" s="39"/>
      <c r="M9" s="39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40"/>
      <c r="AM9" s="15"/>
    </row>
    <row r="10" spans="1:39" ht="24.95" customHeight="1">
      <c r="B10" s="32">
        <v>4</v>
      </c>
      <c r="C10" s="33" t="s">
        <v>14</v>
      </c>
      <c r="D10" s="45"/>
      <c r="E10" s="35">
        <v>42352</v>
      </c>
      <c r="F10" s="36">
        <v>42360</v>
      </c>
      <c r="G10" s="37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46"/>
      <c r="V10" s="46"/>
      <c r="W10" s="46"/>
      <c r="X10" s="46"/>
      <c r="Y10" s="46"/>
      <c r="Z10" s="46"/>
      <c r="AA10" s="46"/>
      <c r="AB10" s="46"/>
      <c r="AC10" s="46"/>
      <c r="AD10" s="39"/>
      <c r="AE10" s="39"/>
      <c r="AF10" s="39"/>
      <c r="AG10" s="39"/>
      <c r="AH10" s="39"/>
      <c r="AI10" s="39"/>
      <c r="AJ10" s="39"/>
      <c r="AK10" s="39"/>
      <c r="AL10" s="40"/>
      <c r="AM10" s="15"/>
    </row>
    <row r="11" spans="1:39" ht="24.95" customHeight="1">
      <c r="B11" s="32">
        <v>5</v>
      </c>
      <c r="C11" s="33" t="s">
        <v>15</v>
      </c>
      <c r="D11" s="47"/>
      <c r="E11" s="35">
        <v>42361</v>
      </c>
      <c r="F11" s="36">
        <v>42363</v>
      </c>
      <c r="G11" s="37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48"/>
      <c r="AE11" s="48"/>
      <c r="AF11" s="48"/>
      <c r="AG11" s="39"/>
      <c r="AH11" s="39"/>
      <c r="AI11" s="39"/>
      <c r="AJ11" s="39"/>
      <c r="AK11" s="39"/>
      <c r="AL11" s="40"/>
      <c r="AM11" s="15"/>
    </row>
    <row r="12" spans="1:39" ht="24.95" customHeight="1">
      <c r="B12" s="32">
        <v>6</v>
      </c>
      <c r="C12" s="33" t="s">
        <v>5</v>
      </c>
      <c r="D12" s="49"/>
      <c r="E12" s="35">
        <v>42366</v>
      </c>
      <c r="F12" s="36">
        <v>42369</v>
      </c>
      <c r="G12" s="37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50"/>
      <c r="AJ12" s="50"/>
      <c r="AK12" s="50"/>
      <c r="AL12" s="51"/>
      <c r="AM12" s="15"/>
    </row>
    <row r="13" spans="1:39" ht="24.95" customHeight="1">
      <c r="B13" s="32">
        <v>7</v>
      </c>
      <c r="C13" s="33"/>
      <c r="D13" s="52"/>
      <c r="E13" s="35"/>
      <c r="F13" s="36"/>
      <c r="G13" s="37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40"/>
      <c r="AM13" s="15"/>
    </row>
    <row r="14" spans="1:39" ht="24.95" customHeight="1">
      <c r="B14" s="32">
        <v>8</v>
      </c>
      <c r="C14" s="33"/>
      <c r="D14" s="52"/>
      <c r="E14" s="35"/>
      <c r="F14" s="36"/>
      <c r="G14" s="37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40"/>
      <c r="AM14" s="15"/>
    </row>
    <row r="15" spans="1:39" ht="24.95" customHeight="1">
      <c r="B15" s="32">
        <v>9</v>
      </c>
      <c r="C15" s="33"/>
      <c r="D15" s="52"/>
      <c r="E15" s="35"/>
      <c r="F15" s="36"/>
      <c r="G15" s="37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4"/>
      <c r="AM15" s="15"/>
    </row>
    <row r="16" spans="1:39" ht="24.95" customHeight="1" thickBot="1">
      <c r="B16" s="55">
        <v>10</v>
      </c>
      <c r="C16" s="56"/>
      <c r="D16" s="57"/>
      <c r="E16" s="58"/>
      <c r="F16" s="59"/>
      <c r="G16" s="60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2"/>
      <c r="AM16" s="15"/>
    </row>
    <row r="17" spans="2:39">
      <c r="B17" s="63" t="s">
        <v>16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5"/>
      <c r="AM17" s="15"/>
    </row>
    <row r="18" spans="2:39">
      <c r="B18" s="3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5"/>
    </row>
    <row r="19" spans="2:39">
      <c r="B19" s="3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5"/>
    </row>
    <row r="20" spans="2:39" ht="16.5" thickBot="1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8"/>
    </row>
  </sheetData>
  <mergeCells count="8">
    <mergeCell ref="H3:AL3"/>
    <mergeCell ref="H4:AL4"/>
    <mergeCell ref="D5:D6"/>
    <mergeCell ref="B3:F4"/>
    <mergeCell ref="B5:B6"/>
    <mergeCell ref="C5:C6"/>
    <mergeCell ref="E5:E6"/>
    <mergeCell ref="F5:F6"/>
  </mergeCells>
  <phoneticPr fontId="1"/>
  <conditionalFormatting sqref="H6:AL6">
    <cfRule type="expression" dxfId="1" priority="1">
      <formula>WEEKDAY(H6)=1</formula>
    </cfRule>
    <cfRule type="expression" dxfId="0" priority="2">
      <formula>WEEKDAY(H6)=7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StartAndFinal">
                <anchor moveWithCells="1" sizeWithCells="1">
                  <from>
                    <xdr:col>4</xdr:col>
                    <xdr:colOff>114300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9"/>
  <sheetViews>
    <sheetView workbookViewId="0">
      <selection activeCell="E10" sqref="E10"/>
    </sheetView>
  </sheetViews>
  <sheetFormatPr defaultRowHeight="15.75"/>
  <cols>
    <col min="2" max="6" width="21.7109375" bestFit="1" customWidth="1"/>
  </cols>
  <sheetData>
    <row r="2" spans="2:6">
      <c r="B2" s="15" t="s">
        <v>18</v>
      </c>
      <c r="C2" s="15"/>
      <c r="D2" s="15"/>
      <c r="E2" s="15"/>
      <c r="F2" s="15"/>
    </row>
    <row r="3" spans="2:6">
      <c r="B3" s="67">
        <v>42345</v>
      </c>
      <c r="C3" s="67">
        <v>42346</v>
      </c>
      <c r="D3" s="67">
        <v>42347</v>
      </c>
      <c r="E3" s="68">
        <v>42348</v>
      </c>
      <c r="F3" s="67">
        <v>42349</v>
      </c>
    </row>
    <row r="4" spans="2:6">
      <c r="B4" s="15"/>
      <c r="C4" s="15"/>
      <c r="D4" s="15"/>
      <c r="E4" s="15"/>
      <c r="F4" s="15"/>
    </row>
    <row r="5" spans="2:6">
      <c r="B5" s="15" t="s">
        <v>19</v>
      </c>
      <c r="C5" s="15"/>
      <c r="D5" s="15"/>
      <c r="E5" s="15"/>
      <c r="F5" s="15"/>
    </row>
    <row r="6" spans="2:6">
      <c r="B6" s="69">
        <v>42348</v>
      </c>
      <c r="C6" s="15"/>
      <c r="D6" s="15"/>
      <c r="E6" s="15"/>
      <c r="F6" s="15"/>
    </row>
    <row r="7" spans="2:6">
      <c r="B7" s="15"/>
      <c r="C7" s="15"/>
      <c r="D7" s="15"/>
      <c r="E7" s="15"/>
      <c r="F7" s="15"/>
    </row>
    <row r="8" spans="2:6">
      <c r="B8" s="15" t="s">
        <v>20</v>
      </c>
      <c r="C8" s="15"/>
      <c r="D8" s="15"/>
      <c r="E8" s="15"/>
      <c r="F8" s="15"/>
    </row>
    <row r="9" spans="2:6">
      <c r="B9" s="70">
        <f>MATCH(B6,B3:F3,1)</f>
        <v>4</v>
      </c>
      <c r="C9" s="15"/>
      <c r="D9" s="15"/>
      <c r="E9" s="15"/>
      <c r="F9" s="15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行程管理表</vt:lpstr>
      <vt:lpstr>MATCH工作表函數的架構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Excel</cp:lastModifiedBy>
  <dcterms:created xsi:type="dcterms:W3CDTF">2015-12-19T00:17:04Z</dcterms:created>
  <dcterms:modified xsi:type="dcterms:W3CDTF">2017-03-19T04:23:01Z</dcterms:modified>
</cp:coreProperties>
</file>