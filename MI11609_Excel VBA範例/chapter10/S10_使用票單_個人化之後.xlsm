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xcel\Google 雲端硬碟\★7書籍相關\★日文vba\Excel VBA範例\chapter10\"/>
    </mc:Choice>
  </mc:AlternateContent>
  <bookViews>
    <workbookView xWindow="0" yWindow="0" windowWidth="21555" windowHeight="10290" activeTab="2"/>
  </bookViews>
  <sheets>
    <sheet name="輸入" sheetId="1" r:id="rId1"/>
    <sheet name="清單" sheetId="4" r:id="rId2"/>
    <sheet name="歷史記錄" sheetId="2" r:id="rId3"/>
  </sheets>
  <definedNames>
    <definedName name="_xlnm._FilterDatabase" localSheetId="2" hidden="1">歷史記錄!$B$2:$J$8</definedName>
    <definedName name="_xlnm.Print_Area" localSheetId="0">輸入!$B$2:$F$31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F24" i="1" l="1"/>
  <c r="F25" i="1" l="1"/>
  <c r="F26" i="1" l="1"/>
  <c r="C9" i="1" s="1"/>
</calcChain>
</file>

<file path=xl/sharedStrings.xml><?xml version="1.0" encoding="utf-8"?>
<sst xmlns="http://schemas.openxmlformats.org/spreadsheetml/2006/main" count="88" uniqueCount="54">
  <si>
    <t>商品</t>
    <rPh sb="0" eb="2">
      <t>ショウヒン</t>
    </rPh>
    <phoneticPr fontId="1"/>
  </si>
  <si>
    <t>摘要</t>
    <rPh sb="0" eb="2">
      <t>テキヨウ</t>
    </rPh>
    <phoneticPr fontId="1"/>
  </si>
  <si>
    <t>金額</t>
    <rPh sb="0" eb="2">
      <t>キンガク</t>
    </rPh>
    <phoneticPr fontId="1"/>
  </si>
  <si>
    <t>小計</t>
    <rPh sb="0" eb="2">
      <t>ショウケイ</t>
    </rPh>
    <phoneticPr fontId="1"/>
  </si>
  <si>
    <t>合計</t>
    <rPh sb="0" eb="2">
      <t>ゴウケイ</t>
    </rPh>
    <phoneticPr fontId="1"/>
  </si>
  <si>
    <t>株式会社　サンプル○×</t>
    <rPh sb="0" eb="2">
      <t>カブシキ</t>
    </rPh>
    <rPh sb="2" eb="4">
      <t>カイシャ</t>
    </rPh>
    <phoneticPr fontId="1"/>
  </si>
  <si>
    <t>〒○○○-○○　××県××市××</t>
    <rPh sb="10" eb="11">
      <t>ケン</t>
    </rPh>
    <rPh sb="13" eb="14">
      <t>シ</t>
    </rPh>
    <phoneticPr fontId="1"/>
  </si>
  <si>
    <t>電話：999-999-9999</t>
    <rPh sb="0" eb="2">
      <t>デンワ</t>
    </rPh>
    <phoneticPr fontId="1"/>
  </si>
  <si>
    <t>ID</t>
    <phoneticPr fontId="1"/>
  </si>
  <si>
    <t>商品ID</t>
    <rPh sb="0" eb="2">
      <t>ショウヒン</t>
    </rPh>
    <phoneticPr fontId="2"/>
  </si>
  <si>
    <t>A15</t>
  </si>
  <si>
    <t>A16</t>
  </si>
  <si>
    <t>B12</t>
  </si>
  <si>
    <t>B21</t>
  </si>
  <si>
    <t>案件名</t>
    <rPh sb="0" eb="2">
      <t>アンケン</t>
    </rPh>
    <rPh sb="2" eb="3">
      <t>メイ</t>
    </rPh>
    <phoneticPr fontId="1"/>
  </si>
  <si>
    <t>金額</t>
    <rPh sb="0" eb="2">
      <t>キンガク</t>
    </rPh>
    <phoneticPr fontId="1"/>
  </si>
  <si>
    <t>發售日：</t>
    <rPh sb="0" eb="2">
      <t>ハッコウ</t>
    </rPh>
    <rPh sb="2" eb="3">
      <t>ビ</t>
    </rPh>
    <phoneticPr fontId="1"/>
  </si>
  <si>
    <t>報價單</t>
    <phoneticPr fontId="1"/>
  </si>
  <si>
    <t>個人電腦</t>
    <phoneticPr fontId="1"/>
  </si>
  <si>
    <t>單價</t>
    <rPh sb="0" eb="2">
      <t>タンカ</t>
    </rPh>
    <phoneticPr fontId="1"/>
  </si>
  <si>
    <t>數量</t>
    <rPh sb="0" eb="2">
      <t>スウリョウ</t>
    </rPh>
    <phoneticPr fontId="1"/>
  </si>
  <si>
    <t>消費稅</t>
    <rPh sb="0" eb="3">
      <t>ショウヒゼイ</t>
    </rPh>
    <phoneticPr fontId="1"/>
  </si>
  <si>
    <t>備註</t>
    <rPh sb="0" eb="2">
      <t>ビコウ</t>
    </rPh>
    <phoneticPr fontId="1"/>
  </si>
  <si>
    <t>桌上型電腦</t>
  </si>
  <si>
    <t>桌上型電腦</t>
    <phoneticPr fontId="1"/>
  </si>
  <si>
    <t>筆記型電腦</t>
    <phoneticPr fontId="1"/>
  </si>
  <si>
    <t>印表機</t>
    <phoneticPr fontId="1"/>
  </si>
  <si>
    <t>包含安裝費用</t>
  </si>
  <si>
    <t>客戶名稱</t>
    <rPh sb="0" eb="2">
      <t>トリヒキ</t>
    </rPh>
    <rPh sb="2" eb="3">
      <t>サキ</t>
    </rPh>
    <rPh sb="3" eb="4">
      <t>メイ</t>
    </rPh>
    <phoneticPr fontId="1"/>
  </si>
  <si>
    <t>樣品建業</t>
  </si>
  <si>
    <t>抽樣調查中心</t>
  </si>
  <si>
    <t>軟體協會</t>
    <phoneticPr fontId="1"/>
  </si>
  <si>
    <t>硬體工會</t>
    <phoneticPr fontId="1"/>
  </si>
  <si>
    <t>商品名稱</t>
    <rPh sb="0" eb="3">
      <t>ショウヒンメイ</t>
    </rPh>
    <phoneticPr fontId="2"/>
  </si>
  <si>
    <t>價格</t>
    <rPh sb="0" eb="2">
      <t>カカク</t>
    </rPh>
    <phoneticPr fontId="2"/>
  </si>
  <si>
    <t>■客戶夥伴</t>
    <rPh sb="1" eb="3">
      <t>トリヒキ</t>
    </rPh>
    <rPh sb="3" eb="4">
      <t>サキ</t>
    </rPh>
    <phoneticPr fontId="1"/>
  </si>
  <si>
    <t>■商品列表</t>
    <rPh sb="1" eb="3">
      <t>ショウヒン</t>
    </rPh>
    <phoneticPr fontId="1"/>
  </si>
  <si>
    <t>多功能事物機</t>
    <rPh sb="0" eb="3">
      <t>フクゴウキ</t>
    </rPh>
    <phoneticPr fontId="1"/>
  </si>
  <si>
    <t>客戶名稱</t>
    <rPh sb="0" eb="2">
      <t>トリヒキ</t>
    </rPh>
    <rPh sb="2" eb="3">
      <t>サキ</t>
    </rPh>
    <phoneticPr fontId="1"/>
  </si>
  <si>
    <t>日期</t>
    <rPh sb="0" eb="2">
      <t>ヒヅケ</t>
    </rPh>
    <phoneticPr fontId="1"/>
  </si>
  <si>
    <t>商品名稱</t>
    <rPh sb="0" eb="2">
      <t>ショウヒン</t>
    </rPh>
    <phoneticPr fontId="1"/>
  </si>
  <si>
    <t>案件名稱</t>
    <rPh sb="0" eb="2">
      <t>ケンメイ</t>
    </rPh>
    <phoneticPr fontId="1"/>
  </si>
  <si>
    <t>筆記型電腦與配件</t>
    <phoneticPr fontId="1"/>
  </si>
  <si>
    <t>桌上型電腦與配件</t>
    <phoneticPr fontId="1"/>
  </si>
  <si>
    <t>個人電腦</t>
    <phoneticPr fontId="1"/>
  </si>
  <si>
    <t>多功能事物機</t>
    <phoneticPr fontId="1"/>
  </si>
  <si>
    <t>品樣商會</t>
  </si>
  <si>
    <t>品樣商會</t>
    <phoneticPr fontId="1"/>
  </si>
  <si>
    <t>個人電腦</t>
  </si>
  <si>
    <t>筆記型電腦</t>
  </si>
  <si>
    <t>帳單編號：</t>
    <phoneticPr fontId="1"/>
  </si>
  <si>
    <t>印表機</t>
    <phoneticPr fontId="1"/>
  </si>
  <si>
    <t>軟體協會</t>
    <phoneticPr fontId="1"/>
  </si>
  <si>
    <t>帳單編號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</si>
</sst>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[$-F800]dddd\,\ mmmm\ dd\,\ yyyy"/>
    <numFmt numFmtId="177" formatCode="@\ &quot;御&quot;&quot;中&quot;"/>
    <numFmt numFmtId="178" formatCode="#,##0&quot;元&quot;"/>
  </numFmts>
  <fonts count="14" x14ac:knownFonts="1"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11"/>
      <color theme="1"/>
      <name val="新細明體"/>
      <family val="2"/>
      <charset val="128"/>
      <scheme val="minor"/>
    </font>
    <font>
      <sz val="11"/>
      <color theme="8"/>
      <name val="新細明體"/>
      <family val="2"/>
      <charset val="128"/>
      <scheme val="minor"/>
    </font>
    <font>
      <sz val="11"/>
      <color theme="1"/>
      <name val="微軟正黑體"/>
      <family val="2"/>
      <charset val="136"/>
    </font>
    <font>
      <b/>
      <sz val="11"/>
      <color theme="0"/>
      <name val="微軟正黑體"/>
      <family val="2"/>
      <charset val="136"/>
    </font>
    <font>
      <sz val="11"/>
      <color theme="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0"/>
      <color theme="1"/>
      <name val="微軟正黑體"/>
      <family val="2"/>
      <charset val="136"/>
    </font>
    <font>
      <b/>
      <sz val="10"/>
      <color theme="1"/>
      <name val="微軟正黑體"/>
      <family val="2"/>
      <charset val="136"/>
    </font>
    <font>
      <b/>
      <sz val="16"/>
      <color theme="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sz val="11"/>
      <color rgb="FF000000"/>
      <name val="微軟正黑體"/>
      <family val="2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</fills>
  <borders count="3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medium">
        <color theme="4"/>
      </left>
      <right/>
      <top style="medium">
        <color theme="4"/>
      </top>
      <bottom style="thin">
        <color theme="4"/>
      </bottom>
      <diagonal/>
    </border>
    <border>
      <left/>
      <right/>
      <top style="medium">
        <color theme="4"/>
      </top>
      <bottom style="thin">
        <color theme="4"/>
      </bottom>
      <diagonal/>
    </border>
    <border>
      <left/>
      <right style="medium">
        <color theme="4"/>
      </right>
      <top style="medium">
        <color theme="4"/>
      </top>
      <bottom style="thin">
        <color theme="4"/>
      </bottom>
      <diagonal/>
    </border>
    <border>
      <left style="medium">
        <color theme="4"/>
      </left>
      <right/>
      <top style="thin">
        <color theme="4"/>
      </top>
      <bottom style="thin">
        <color theme="4"/>
      </bottom>
      <diagonal/>
    </border>
    <border>
      <left/>
      <right style="medium">
        <color theme="4"/>
      </right>
      <top style="thin">
        <color theme="4"/>
      </top>
      <bottom style="thin">
        <color theme="4"/>
      </bottom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double">
        <color theme="4"/>
      </bottom>
      <diagonal/>
    </border>
    <border>
      <left style="thin">
        <color theme="4"/>
      </left>
      <right/>
      <top style="double">
        <color theme="4"/>
      </top>
      <bottom style="double">
        <color theme="4"/>
      </bottom>
      <diagonal/>
    </border>
    <border>
      <left/>
      <right/>
      <top/>
      <bottom style="double">
        <color theme="4"/>
      </bottom>
      <diagonal/>
    </border>
    <border>
      <left style="thin">
        <color theme="4"/>
      </left>
      <right/>
      <top style="thin">
        <color theme="4"/>
      </top>
      <bottom style="double">
        <color theme="4"/>
      </bottom>
      <diagonal/>
    </border>
    <border>
      <left/>
      <right style="thin">
        <color theme="4"/>
      </right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8"/>
      </left>
      <right style="thin">
        <color theme="4"/>
      </right>
      <top style="thin">
        <color theme="8"/>
      </top>
      <bottom style="thin">
        <color theme="8"/>
      </bottom>
      <diagonal/>
    </border>
    <border>
      <left style="thin">
        <color theme="4"/>
      </left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 style="medium">
        <color theme="4" tint="-0.499984740745262"/>
      </left>
      <right style="thin">
        <color theme="4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4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3" fillId="0" borderId="0" xfId="0" applyFont="1">
      <alignment vertical="center"/>
    </xf>
    <xf numFmtId="176" fontId="0" fillId="0" borderId="0" xfId="0" applyNumberFormat="1">
      <alignment vertical="center"/>
    </xf>
    <xf numFmtId="38" fontId="0" fillId="0" borderId="0" xfId="1" applyFont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right" vertical="center"/>
    </xf>
    <xf numFmtId="0" fontId="5" fillId="5" borderId="4" xfId="0" applyFont="1" applyFill="1" applyBorder="1">
      <alignment vertical="center"/>
    </xf>
    <xf numFmtId="0" fontId="5" fillId="5" borderId="5" xfId="0" applyFont="1" applyFill="1" applyBorder="1">
      <alignment vertical="center"/>
    </xf>
    <xf numFmtId="0" fontId="6" fillId="5" borderId="5" xfId="0" applyFont="1" applyFill="1" applyBorder="1" applyAlignment="1">
      <alignment horizontal="right" vertical="center"/>
    </xf>
    <xf numFmtId="176" fontId="6" fillId="5" borderId="6" xfId="0" applyNumberFormat="1" applyFont="1" applyFill="1" applyBorder="1" applyAlignment="1">
      <alignment horizontal="left" vertical="center"/>
    </xf>
    <xf numFmtId="0" fontId="8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10" fillId="5" borderId="31" xfId="0" applyFont="1" applyFill="1" applyBorder="1">
      <alignment vertical="center"/>
    </xf>
    <xf numFmtId="0" fontId="12" fillId="5" borderId="27" xfId="0" applyFont="1" applyFill="1" applyBorder="1">
      <alignment vertical="center"/>
    </xf>
    <xf numFmtId="0" fontId="5" fillId="5" borderId="7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38" fontId="4" fillId="4" borderId="7" xfId="1" applyFont="1" applyFill="1" applyBorder="1">
      <alignment vertical="center"/>
    </xf>
    <xf numFmtId="0" fontId="4" fillId="0" borderId="7" xfId="0" applyFont="1" applyBorder="1">
      <alignment vertical="center"/>
    </xf>
    <xf numFmtId="38" fontId="4" fillId="0" borderId="7" xfId="1" applyFont="1" applyBorder="1">
      <alignment vertical="center"/>
    </xf>
    <xf numFmtId="38" fontId="4" fillId="0" borderId="19" xfId="1" applyFont="1" applyBorder="1">
      <alignment vertical="center"/>
    </xf>
    <xf numFmtId="38" fontId="4" fillId="0" borderId="20" xfId="1" applyFont="1" applyBorder="1">
      <alignment vertical="center"/>
    </xf>
    <xf numFmtId="38" fontId="4" fillId="0" borderId="21" xfId="1" applyFont="1" applyBorder="1">
      <alignment vertical="center"/>
    </xf>
    <xf numFmtId="38" fontId="4" fillId="0" borderId="10" xfId="1" applyFont="1" applyBorder="1">
      <alignment vertical="center"/>
    </xf>
    <xf numFmtId="0" fontId="4" fillId="0" borderId="16" xfId="0" applyFont="1" applyBorder="1">
      <alignment vertical="center"/>
    </xf>
    <xf numFmtId="0" fontId="4" fillId="0" borderId="17" xfId="0" applyFont="1" applyBorder="1">
      <alignment vertical="center"/>
    </xf>
    <xf numFmtId="0" fontId="4" fillId="0" borderId="18" xfId="0" applyFont="1" applyBorder="1">
      <alignment vertical="center"/>
    </xf>
    <xf numFmtId="0" fontId="5" fillId="2" borderId="24" xfId="0" applyFont="1" applyFill="1" applyBorder="1">
      <alignment vertical="center"/>
    </xf>
    <xf numFmtId="0" fontId="5" fillId="2" borderId="26" xfId="0" applyFont="1" applyFill="1" applyBorder="1">
      <alignment vertical="center"/>
    </xf>
    <xf numFmtId="0" fontId="5" fillId="2" borderId="25" xfId="0" applyFont="1" applyFill="1" applyBorder="1">
      <alignment vertical="center"/>
    </xf>
    <xf numFmtId="0" fontId="4" fillId="3" borderId="24" xfId="0" applyFont="1" applyFill="1" applyBorder="1">
      <alignment vertical="center"/>
    </xf>
    <xf numFmtId="0" fontId="4" fillId="3" borderId="26" xfId="0" applyFont="1" applyFill="1" applyBorder="1">
      <alignment vertical="center"/>
    </xf>
    <xf numFmtId="0" fontId="4" fillId="3" borderId="25" xfId="0" applyFont="1" applyFill="1" applyBorder="1">
      <alignment vertical="center"/>
    </xf>
    <xf numFmtId="38" fontId="4" fillId="3" borderId="26" xfId="1" applyNumberFormat="1" applyFont="1" applyFill="1" applyBorder="1">
      <alignment vertical="center"/>
    </xf>
    <xf numFmtId="0" fontId="4" fillId="0" borderId="24" xfId="0" applyFont="1" applyBorder="1">
      <alignment vertical="center"/>
    </xf>
    <xf numFmtId="0" fontId="4" fillId="0" borderId="26" xfId="0" applyFont="1" applyBorder="1">
      <alignment vertical="center"/>
    </xf>
    <xf numFmtId="0" fontId="4" fillId="0" borderId="25" xfId="0" applyFont="1" applyBorder="1">
      <alignment vertical="center"/>
    </xf>
    <xf numFmtId="38" fontId="4" fillId="0" borderId="26" xfId="1" applyNumberFormat="1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38" fontId="4" fillId="0" borderId="3" xfId="1" applyNumberFormat="1" applyFont="1" applyBorder="1">
      <alignment vertical="center"/>
    </xf>
    <xf numFmtId="0" fontId="4" fillId="3" borderId="1" xfId="0" applyFont="1" applyFill="1" applyBorder="1">
      <alignment vertical="center"/>
    </xf>
    <xf numFmtId="0" fontId="4" fillId="3" borderId="3" xfId="0" applyFont="1" applyFill="1" applyBorder="1">
      <alignment vertical="center"/>
    </xf>
    <xf numFmtId="38" fontId="5" fillId="2" borderId="24" xfId="1" applyFont="1" applyFill="1" applyBorder="1">
      <alignment vertical="center"/>
    </xf>
    <xf numFmtId="176" fontId="4" fillId="0" borderId="0" xfId="0" applyNumberFormat="1" applyFont="1">
      <alignment vertical="center"/>
    </xf>
    <xf numFmtId="38" fontId="4" fillId="0" borderId="0" xfId="1" applyFont="1">
      <alignment vertical="center"/>
    </xf>
    <xf numFmtId="178" fontId="11" fillId="0" borderId="32" xfId="1" applyNumberFormat="1" applyFont="1" applyBorder="1">
      <alignment vertical="center"/>
    </xf>
    <xf numFmtId="0" fontId="4" fillId="0" borderId="28" xfId="0" applyFont="1" applyBorder="1" applyAlignment="1">
      <alignment horizontal="left" vertical="center"/>
    </xf>
    <xf numFmtId="0" fontId="4" fillId="0" borderId="29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177" fontId="7" fillId="0" borderId="10" xfId="0" applyNumberFormat="1" applyFont="1" applyBorder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4" fillId="0" borderId="11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15" xfId="0" applyFont="1" applyBorder="1" applyAlignment="1">
      <alignment horizontal="left" vertical="center"/>
    </xf>
    <xf numFmtId="0" fontId="5" fillId="5" borderId="22" xfId="0" applyFont="1" applyFill="1" applyBorder="1" applyAlignment="1">
      <alignment horizontal="center" vertical="center"/>
    </xf>
    <xf numFmtId="0" fontId="5" fillId="5" borderId="23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</cellXfs>
  <cellStyles count="2">
    <cellStyle name="一般" xfId="0" builtinId="0"/>
    <cellStyle name="千分位[0]" xfId="1" builtinId="6"/>
  </cellStyles>
  <dxfs count="1">
    <dxf>
      <border>
        <vertical style="thin">
          <color auto="1"/>
        </vertical>
      </border>
    </dxf>
  </dxfs>
  <tableStyles count="1" defaultTableStyle="TableStyleMedium2" defaultPivotStyle="PivotStyleLight16">
    <tableStyle name="テーブル スタイル 1" pivot="0" count="1">
      <tableStyleElement type="wholeTabl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新增帳單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238125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載入帳單編號資料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0</xdr:rowOff>
        </xdr:from>
        <xdr:to>
          <xdr:col>10</xdr:col>
          <xdr:colOff>0</xdr:colOff>
          <xdr:row>13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轉存記錄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10</xdr:col>
          <xdr:colOff>0</xdr:colOff>
          <xdr:row>8</xdr:row>
          <xdr:rowOff>323850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僅更新帳單編號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F31"/>
  <sheetViews>
    <sheetView showGridLines="0" zoomScale="115" zoomScaleNormal="115" workbookViewId="0">
      <selection activeCell="B1" sqref="B1"/>
    </sheetView>
  </sheetViews>
  <sheetFormatPr defaultRowHeight="15.75" x14ac:dyDescent="0.25"/>
  <cols>
    <col min="1" max="1" width="3.42578125" customWidth="1"/>
    <col min="2" max="2" width="36.7109375" customWidth="1"/>
    <col min="3" max="3" width="27.7109375" customWidth="1"/>
    <col min="4" max="4" width="19" customWidth="1"/>
    <col min="5" max="5" width="12" customWidth="1"/>
    <col min="6" max="6" width="20.28515625" customWidth="1"/>
  </cols>
  <sheetData>
    <row r="1" spans="1:6" x14ac:dyDescent="0.25">
      <c r="B1" s="4"/>
      <c r="C1" s="4"/>
      <c r="D1" s="4"/>
      <c r="E1" s="5" t="s">
        <v>50</v>
      </c>
      <c r="F1" s="4">
        <v>3</v>
      </c>
    </row>
    <row r="2" spans="1:6" x14ac:dyDescent="0.25">
      <c r="B2" s="6"/>
      <c r="C2" s="7"/>
      <c r="D2" s="7"/>
      <c r="E2" s="8" t="s">
        <v>16</v>
      </c>
      <c r="F2" s="9">
        <v>42388</v>
      </c>
    </row>
    <row r="3" spans="1:6" ht="21" x14ac:dyDescent="0.25">
      <c r="B3" s="49" t="s">
        <v>17</v>
      </c>
      <c r="C3" s="49"/>
      <c r="D3" s="49"/>
      <c r="E3" s="49"/>
      <c r="F3" s="49"/>
    </row>
    <row r="4" spans="1:6" ht="21" x14ac:dyDescent="0.25">
      <c r="B4" s="50" t="s">
        <v>52</v>
      </c>
      <c r="C4" s="50"/>
      <c r="D4" s="4"/>
      <c r="E4" s="4"/>
      <c r="F4" s="4"/>
    </row>
    <row r="5" spans="1:6" x14ac:dyDescent="0.25">
      <c r="B5" s="4"/>
      <c r="C5" s="4"/>
      <c r="D5" s="51" t="s">
        <v>5</v>
      </c>
      <c r="E5" s="51"/>
      <c r="F5" s="51"/>
    </row>
    <row r="6" spans="1:6" x14ac:dyDescent="0.25">
      <c r="B6" s="4"/>
      <c r="C6" s="4"/>
      <c r="D6" s="51" t="s">
        <v>6</v>
      </c>
      <c r="E6" s="51"/>
      <c r="F6" s="51"/>
    </row>
    <row r="7" spans="1:6" x14ac:dyDescent="0.25">
      <c r="B7" s="4"/>
      <c r="C7" s="4"/>
      <c r="D7" s="51" t="s">
        <v>7</v>
      </c>
      <c r="E7" s="51"/>
      <c r="F7" s="51"/>
    </row>
    <row r="8" spans="1:6" ht="16.5" thickBot="1" x14ac:dyDescent="0.3">
      <c r="B8" s="10" t="str">
        <f>C11 &amp; "  報價單金額："</f>
        <v>個人電腦  報價單金額：</v>
      </c>
      <c r="C8" s="11"/>
      <c r="D8" s="4"/>
      <c r="E8" s="4"/>
      <c r="F8" s="4"/>
    </row>
    <row r="9" spans="1:6" ht="36.75" customHeight="1" thickBot="1" x14ac:dyDescent="0.3">
      <c r="B9" s="12" t="s">
        <v>15</v>
      </c>
      <c r="C9" s="45">
        <f>F26</f>
        <v>646056</v>
      </c>
      <c r="D9" s="4"/>
      <c r="E9" s="4"/>
      <c r="F9" s="4"/>
    </row>
    <row r="10" spans="1:6" x14ac:dyDescent="0.25">
      <c r="B10" s="4"/>
      <c r="C10" s="4"/>
      <c r="D10" s="4"/>
      <c r="E10" s="4"/>
      <c r="F10" s="4"/>
    </row>
    <row r="11" spans="1:6" ht="16.5" x14ac:dyDescent="0.25">
      <c r="B11" s="13" t="s">
        <v>41</v>
      </c>
      <c r="C11" s="46" t="s">
        <v>18</v>
      </c>
      <c r="D11" s="47"/>
      <c r="E11" s="47"/>
      <c r="F11" s="48"/>
    </row>
    <row r="12" spans="1:6" x14ac:dyDescent="0.25">
      <c r="B12" s="4"/>
      <c r="C12" s="4"/>
      <c r="D12" s="4"/>
      <c r="E12" s="4"/>
      <c r="F12" s="4"/>
    </row>
    <row r="13" spans="1:6" x14ac:dyDescent="0.25">
      <c r="B13" s="14" t="s">
        <v>0</v>
      </c>
      <c r="C13" s="14" t="s">
        <v>1</v>
      </c>
      <c r="D13" s="14" t="s">
        <v>19</v>
      </c>
      <c r="E13" s="14" t="s">
        <v>20</v>
      </c>
      <c r="F13" s="14" t="s">
        <v>2</v>
      </c>
    </row>
    <row r="14" spans="1:6" x14ac:dyDescent="0.25">
      <c r="A14" s="1">
        <v>1</v>
      </c>
      <c r="B14" s="15" t="s">
        <v>51</v>
      </c>
      <c r="C14" s="15" t="s">
        <v>27</v>
      </c>
      <c r="D14" s="16">
        <v>98000</v>
      </c>
      <c r="E14" s="15">
        <v>3</v>
      </c>
      <c r="F14" s="16">
        <v>294000</v>
      </c>
    </row>
    <row r="15" spans="1:6" x14ac:dyDescent="0.25">
      <c r="A15" s="1">
        <v>2</v>
      </c>
      <c r="B15" s="17" t="s">
        <v>49</v>
      </c>
      <c r="C15" s="17" t="s">
        <v>27</v>
      </c>
      <c r="D15" s="18">
        <v>148000</v>
      </c>
      <c r="E15" s="17">
        <v>2</v>
      </c>
      <c r="F15" s="18">
        <v>296000</v>
      </c>
    </row>
    <row r="16" spans="1:6" x14ac:dyDescent="0.25">
      <c r="A16" s="1">
        <v>3</v>
      </c>
      <c r="B16" s="15" t="s">
        <v>23</v>
      </c>
      <c r="C16" s="15" t="s">
        <v>27</v>
      </c>
      <c r="D16" s="16">
        <v>8200</v>
      </c>
      <c r="E16" s="15">
        <v>1</v>
      </c>
      <c r="F16" s="16">
        <v>8200</v>
      </c>
    </row>
    <row r="17" spans="1:6" x14ac:dyDescent="0.25">
      <c r="A17" s="1">
        <v>4</v>
      </c>
      <c r="B17" s="17"/>
      <c r="C17" s="17"/>
      <c r="D17" s="18"/>
      <c r="E17" s="17"/>
      <c r="F17" s="18"/>
    </row>
    <row r="18" spans="1:6" x14ac:dyDescent="0.25">
      <c r="A18" s="1">
        <v>5</v>
      </c>
      <c r="B18" s="15"/>
      <c r="C18" s="15"/>
      <c r="D18" s="16"/>
      <c r="E18" s="15"/>
      <c r="F18" s="16"/>
    </row>
    <row r="19" spans="1:6" x14ac:dyDescent="0.25">
      <c r="A19" s="1">
        <v>6</v>
      </c>
      <c r="B19" s="17"/>
      <c r="C19" s="17"/>
      <c r="D19" s="18"/>
      <c r="E19" s="17"/>
      <c r="F19" s="18"/>
    </row>
    <row r="20" spans="1:6" x14ac:dyDescent="0.25">
      <c r="A20" s="1">
        <v>7</v>
      </c>
      <c r="B20" s="15"/>
      <c r="C20" s="15"/>
      <c r="D20" s="16"/>
      <c r="E20" s="15"/>
      <c r="F20" s="16"/>
    </row>
    <row r="21" spans="1:6" x14ac:dyDescent="0.25">
      <c r="A21" s="1">
        <v>8</v>
      </c>
      <c r="B21" s="17"/>
      <c r="C21" s="17"/>
      <c r="D21" s="18"/>
      <c r="E21" s="17"/>
      <c r="F21" s="18"/>
    </row>
    <row r="22" spans="1:6" x14ac:dyDescent="0.25">
      <c r="A22" s="1">
        <v>9</v>
      </c>
      <c r="B22" s="15"/>
      <c r="C22" s="15"/>
      <c r="D22" s="16"/>
      <c r="E22" s="15"/>
      <c r="F22" s="16"/>
    </row>
    <row r="23" spans="1:6" ht="16.5" thickBot="1" x14ac:dyDescent="0.3">
      <c r="A23" s="1">
        <v>10</v>
      </c>
      <c r="B23" s="17"/>
      <c r="C23" s="17"/>
      <c r="D23" s="18"/>
      <c r="E23" s="17"/>
      <c r="F23" s="19"/>
    </row>
    <row r="24" spans="1:6" ht="17.25" thickTop="1" thickBot="1" x14ac:dyDescent="0.3">
      <c r="B24" s="4"/>
      <c r="C24" s="4"/>
      <c r="D24" s="58" t="s">
        <v>3</v>
      </c>
      <c r="E24" s="59"/>
      <c r="F24" s="20">
        <f>SUM(F14:F23)</f>
        <v>598200</v>
      </c>
    </row>
    <row r="25" spans="1:6" ht="17.25" thickTop="1" thickBot="1" x14ac:dyDescent="0.3">
      <c r="B25" s="4"/>
      <c r="C25" s="4"/>
      <c r="D25" s="60" t="s">
        <v>21</v>
      </c>
      <c r="E25" s="60"/>
      <c r="F25" s="21">
        <f>ROUND(F24*0.08,0)</f>
        <v>47856</v>
      </c>
    </row>
    <row r="26" spans="1:6" ht="16.5" thickTop="1" x14ac:dyDescent="0.25">
      <c r="B26" s="4"/>
      <c r="C26" s="4"/>
      <c r="D26" s="61" t="s">
        <v>4</v>
      </c>
      <c r="E26" s="62"/>
      <c r="F26" s="22">
        <f>SUM(F24:F25)</f>
        <v>646056</v>
      </c>
    </row>
    <row r="27" spans="1:6" ht="16.5" thickBot="1" x14ac:dyDescent="0.3">
      <c r="B27" s="4" t="s">
        <v>22</v>
      </c>
      <c r="C27" s="4"/>
      <c r="D27" s="4"/>
      <c r="E27" s="4"/>
      <c r="F27" s="4"/>
    </row>
    <row r="28" spans="1:6" x14ac:dyDescent="0.25">
      <c r="B28" s="52"/>
      <c r="C28" s="53"/>
      <c r="D28" s="53"/>
      <c r="E28" s="53"/>
      <c r="F28" s="54"/>
    </row>
    <row r="29" spans="1:6" x14ac:dyDescent="0.25">
      <c r="B29" s="55"/>
      <c r="C29" s="56"/>
      <c r="D29" s="56"/>
      <c r="E29" s="56"/>
      <c r="F29" s="57"/>
    </row>
    <row r="30" spans="1:6" x14ac:dyDescent="0.25">
      <c r="B30" s="55"/>
      <c r="C30" s="56"/>
      <c r="D30" s="56"/>
      <c r="E30" s="56"/>
      <c r="F30" s="57"/>
    </row>
    <row r="31" spans="1:6" ht="16.5" thickBot="1" x14ac:dyDescent="0.3">
      <c r="B31" s="23"/>
      <c r="C31" s="24"/>
      <c r="D31" s="24"/>
      <c r="E31" s="24"/>
      <c r="F31" s="25"/>
    </row>
  </sheetData>
  <mergeCells count="12">
    <mergeCell ref="B28:F28"/>
    <mergeCell ref="B29:F29"/>
    <mergeCell ref="B30:F30"/>
    <mergeCell ref="D24:E24"/>
    <mergeCell ref="D25:E25"/>
    <mergeCell ref="D26:E26"/>
    <mergeCell ref="C11:F11"/>
    <mergeCell ref="B3:F3"/>
    <mergeCell ref="B4:C4"/>
    <mergeCell ref="D5:F5"/>
    <mergeCell ref="D6:F6"/>
    <mergeCell ref="D7:F7"/>
  </mergeCells>
  <phoneticPr fontId="1"/>
  <pageMargins left="0.7" right="0.7" top="0.75" bottom="0.75" header="0.3" footer="0.3"/>
  <pageSetup paperSize="9" scale="74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Sheet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oadData">
                <anchor moveWithCells="1" sizeWithCells="1">
                  <from>
                    <xdr:col>7</xdr:col>
                    <xdr:colOff>0</xdr:colOff>
                    <xdr:row>3</xdr:row>
                    <xdr:rowOff>238125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heckData">
                <anchor moveWithCells="1" siz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10</xdr:col>
                    <xdr:colOff>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NewID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G9"/>
  <sheetViews>
    <sheetView zoomScale="130" zoomScaleNormal="130" workbookViewId="0">
      <selection activeCell="C12" sqref="C12:C13"/>
    </sheetView>
  </sheetViews>
  <sheetFormatPr defaultRowHeight="15.75" x14ac:dyDescent="0.25"/>
  <cols>
    <col min="2" max="2" width="6" customWidth="1"/>
    <col min="3" max="3" width="32.7109375" customWidth="1"/>
    <col min="6" max="6" width="25.42578125" bestFit="1" customWidth="1"/>
    <col min="7" max="7" width="13.7109375" customWidth="1"/>
  </cols>
  <sheetData>
    <row r="2" spans="2:7" x14ac:dyDescent="0.25">
      <c r="B2" s="4" t="s">
        <v>35</v>
      </c>
      <c r="C2" s="4"/>
      <c r="D2" s="4"/>
      <c r="E2" s="4" t="s">
        <v>36</v>
      </c>
      <c r="F2" s="4"/>
      <c r="G2" s="4"/>
    </row>
    <row r="3" spans="2:7" x14ac:dyDescent="0.25">
      <c r="B3" s="4"/>
      <c r="C3" s="4"/>
      <c r="D3" s="4"/>
      <c r="E3" s="4"/>
      <c r="F3" s="4"/>
      <c r="G3" s="4"/>
    </row>
    <row r="4" spans="2:7" x14ac:dyDescent="0.25">
      <c r="B4" s="26" t="s">
        <v>8</v>
      </c>
      <c r="C4" s="27" t="s">
        <v>28</v>
      </c>
      <c r="D4" s="4"/>
      <c r="E4" s="26" t="s">
        <v>9</v>
      </c>
      <c r="F4" s="28" t="s">
        <v>33</v>
      </c>
      <c r="G4" s="27" t="s">
        <v>34</v>
      </c>
    </row>
    <row r="5" spans="2:7" x14ac:dyDescent="0.25">
      <c r="B5" s="29">
        <v>1</v>
      </c>
      <c r="C5" s="30" t="s">
        <v>29</v>
      </c>
      <c r="D5" s="4"/>
      <c r="E5" s="29" t="s">
        <v>10</v>
      </c>
      <c r="F5" s="31" t="s">
        <v>24</v>
      </c>
      <c r="G5" s="32">
        <v>98000</v>
      </c>
    </row>
    <row r="6" spans="2:7" x14ac:dyDescent="0.25">
      <c r="B6" s="33">
        <v>2</v>
      </c>
      <c r="C6" s="34" t="s">
        <v>30</v>
      </c>
      <c r="D6" s="4"/>
      <c r="E6" s="33" t="s">
        <v>11</v>
      </c>
      <c r="F6" s="35" t="s">
        <v>25</v>
      </c>
      <c r="G6" s="36">
        <v>148000</v>
      </c>
    </row>
    <row r="7" spans="2:7" x14ac:dyDescent="0.25">
      <c r="B7" s="29">
        <v>3</v>
      </c>
      <c r="C7" s="30" t="s">
        <v>47</v>
      </c>
      <c r="D7" s="4"/>
      <c r="E7" s="29" t="s">
        <v>12</v>
      </c>
      <c r="F7" s="31" t="s">
        <v>26</v>
      </c>
      <c r="G7" s="32">
        <v>8200</v>
      </c>
    </row>
    <row r="8" spans="2:7" x14ac:dyDescent="0.25">
      <c r="B8" s="33">
        <v>4</v>
      </c>
      <c r="C8" s="34" t="s">
        <v>31</v>
      </c>
      <c r="D8" s="4"/>
      <c r="E8" s="37" t="s">
        <v>13</v>
      </c>
      <c r="F8" s="38" t="s">
        <v>37</v>
      </c>
      <c r="G8" s="39">
        <v>18000</v>
      </c>
    </row>
    <row r="9" spans="2:7" x14ac:dyDescent="0.25">
      <c r="B9" s="40">
        <v>5</v>
      </c>
      <c r="C9" s="41" t="s">
        <v>32</v>
      </c>
      <c r="D9" s="4"/>
      <c r="E9" s="4"/>
      <c r="F9" s="4"/>
      <c r="G9" s="4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J11"/>
  <sheetViews>
    <sheetView tabSelected="1" zoomScaleNormal="100" workbookViewId="0">
      <selection activeCell="B3" sqref="B3"/>
    </sheetView>
  </sheetViews>
  <sheetFormatPr defaultRowHeight="15.75" x14ac:dyDescent="0.25"/>
  <cols>
    <col min="1" max="1" width="5.5703125" customWidth="1"/>
    <col min="2" max="2" width="13" customWidth="1"/>
    <col min="3" max="3" width="19" style="2" customWidth="1"/>
    <col min="4" max="5" width="25.5703125" customWidth="1"/>
    <col min="6" max="6" width="28.7109375" customWidth="1"/>
    <col min="7" max="7" width="26.5703125" customWidth="1"/>
    <col min="8" max="8" width="16.28515625" style="3" customWidth="1"/>
    <col min="10" max="10" width="17" style="3" customWidth="1"/>
  </cols>
  <sheetData>
    <row r="2" spans="2:10" x14ac:dyDescent="0.25">
      <c r="B2" s="26" t="s">
        <v>53</v>
      </c>
      <c r="C2" s="26" t="s">
        <v>39</v>
      </c>
      <c r="D2" s="26" t="s">
        <v>38</v>
      </c>
      <c r="E2" s="26" t="s">
        <v>14</v>
      </c>
      <c r="F2" s="26" t="s">
        <v>40</v>
      </c>
      <c r="G2" s="26" t="s">
        <v>1</v>
      </c>
      <c r="H2" s="42" t="s">
        <v>19</v>
      </c>
      <c r="I2" s="26" t="s">
        <v>20</v>
      </c>
      <c r="J2" s="42" t="s">
        <v>2</v>
      </c>
    </row>
    <row r="3" spans="2:10" x14ac:dyDescent="0.25">
      <c r="B3" s="4">
        <v>1</v>
      </c>
      <c r="C3" s="43">
        <v>42388</v>
      </c>
      <c r="D3" s="4" t="s">
        <v>29</v>
      </c>
      <c r="E3" s="4" t="s">
        <v>44</v>
      </c>
      <c r="F3" s="4" t="s">
        <v>23</v>
      </c>
      <c r="G3" s="4" t="s">
        <v>27</v>
      </c>
      <c r="H3" s="44">
        <v>98000</v>
      </c>
      <c r="I3" s="4">
        <v>3</v>
      </c>
      <c r="J3" s="44">
        <v>294000</v>
      </c>
    </row>
    <row r="4" spans="2:10" x14ac:dyDescent="0.25">
      <c r="B4" s="4">
        <v>1</v>
      </c>
      <c r="C4" s="43">
        <v>42388</v>
      </c>
      <c r="D4" s="4" t="s">
        <v>29</v>
      </c>
      <c r="E4" s="4" t="s">
        <v>44</v>
      </c>
      <c r="F4" s="4" t="s">
        <v>25</v>
      </c>
      <c r="G4" s="4" t="s">
        <v>27</v>
      </c>
      <c r="H4" s="44">
        <v>148000</v>
      </c>
      <c r="I4" s="4">
        <v>2</v>
      </c>
      <c r="J4" s="44">
        <v>296000</v>
      </c>
    </row>
    <row r="5" spans="2:10" x14ac:dyDescent="0.25">
      <c r="B5" s="4">
        <v>1</v>
      </c>
      <c r="C5" s="43">
        <v>42388</v>
      </c>
      <c r="D5" s="4" t="s">
        <v>29</v>
      </c>
      <c r="E5" s="4" t="s">
        <v>44</v>
      </c>
      <c r="F5" s="4" t="s">
        <v>23</v>
      </c>
      <c r="G5" s="4" t="s">
        <v>27</v>
      </c>
      <c r="H5" s="44">
        <v>8200</v>
      </c>
      <c r="I5" s="4">
        <v>1</v>
      </c>
      <c r="J5" s="44">
        <v>8200</v>
      </c>
    </row>
    <row r="6" spans="2:10" x14ac:dyDescent="0.25">
      <c r="B6" s="4">
        <v>2</v>
      </c>
      <c r="C6" s="43">
        <v>42392</v>
      </c>
      <c r="D6" s="4" t="s">
        <v>46</v>
      </c>
      <c r="E6" s="4" t="s">
        <v>42</v>
      </c>
      <c r="F6" s="4" t="s">
        <v>25</v>
      </c>
      <c r="G6" s="4"/>
      <c r="H6" s="44">
        <v>148000</v>
      </c>
      <c r="I6" s="4">
        <v>8</v>
      </c>
      <c r="J6" s="44">
        <v>1184000</v>
      </c>
    </row>
    <row r="7" spans="2:10" x14ac:dyDescent="0.25">
      <c r="B7" s="4">
        <v>2</v>
      </c>
      <c r="C7" s="43">
        <v>42392</v>
      </c>
      <c r="D7" s="4" t="s">
        <v>46</v>
      </c>
      <c r="E7" s="4" t="s">
        <v>42</v>
      </c>
      <c r="F7" s="4" t="s">
        <v>45</v>
      </c>
      <c r="G7" s="4"/>
      <c r="H7" s="44">
        <v>18000</v>
      </c>
      <c r="I7" s="4">
        <v>1</v>
      </c>
      <c r="J7" s="44">
        <v>18000</v>
      </c>
    </row>
    <row r="8" spans="2:10" x14ac:dyDescent="0.25">
      <c r="B8" s="4">
        <v>3</v>
      </c>
      <c r="C8" s="43">
        <v>42388</v>
      </c>
      <c r="D8" s="4" t="s">
        <v>30</v>
      </c>
      <c r="E8" s="4" t="s">
        <v>43</v>
      </c>
      <c r="F8" s="4" t="s">
        <v>26</v>
      </c>
      <c r="G8" s="4" t="s">
        <v>27</v>
      </c>
      <c r="H8" s="44">
        <v>98000</v>
      </c>
      <c r="I8" s="4">
        <v>3</v>
      </c>
      <c r="J8" s="44">
        <v>294000</v>
      </c>
    </row>
    <row r="9" spans="2:10" x14ac:dyDescent="0.25">
      <c r="B9">
        <v>4</v>
      </c>
      <c r="C9" s="43">
        <v>42388</v>
      </c>
      <c r="D9" t="s">
        <v>29</v>
      </c>
      <c r="E9" t="s">
        <v>48</v>
      </c>
      <c r="F9" t="s">
        <v>23</v>
      </c>
      <c r="G9" t="s">
        <v>27</v>
      </c>
      <c r="H9" s="3">
        <v>98000</v>
      </c>
      <c r="I9">
        <v>3</v>
      </c>
      <c r="J9" s="3">
        <v>294000</v>
      </c>
    </row>
    <row r="10" spans="2:10" x14ac:dyDescent="0.25">
      <c r="B10">
        <v>4</v>
      </c>
      <c r="C10" s="43">
        <v>42388</v>
      </c>
      <c r="D10" t="s">
        <v>29</v>
      </c>
      <c r="E10" t="s">
        <v>48</v>
      </c>
      <c r="F10" t="s">
        <v>49</v>
      </c>
      <c r="G10" t="s">
        <v>27</v>
      </c>
      <c r="H10" s="3">
        <v>148000</v>
      </c>
      <c r="I10">
        <v>2</v>
      </c>
      <c r="J10" s="3">
        <v>296000</v>
      </c>
    </row>
    <row r="11" spans="2:10" x14ac:dyDescent="0.25">
      <c r="B11">
        <v>4</v>
      </c>
      <c r="C11" s="43">
        <v>42388</v>
      </c>
      <c r="D11" t="s">
        <v>29</v>
      </c>
      <c r="E11" t="s">
        <v>48</v>
      </c>
      <c r="F11" t="s">
        <v>23</v>
      </c>
      <c r="G11" t="s">
        <v>27</v>
      </c>
      <c r="H11" s="3">
        <v>8200</v>
      </c>
      <c r="I11">
        <v>1</v>
      </c>
      <c r="J11" s="3">
        <v>8200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1</vt:i4>
      </vt:variant>
    </vt:vector>
  </HeadingPairs>
  <TitlesOfParts>
    <vt:vector size="4" baseType="lpstr">
      <vt:lpstr>輸入</vt:lpstr>
      <vt:lpstr>清單</vt:lpstr>
      <vt:lpstr>歷史記錄</vt:lpstr>
      <vt:lpstr>輸入!Print_Area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Jyunpei FURUKAWA</dc:creator>
  <cp:lastModifiedBy>Excel</cp:lastModifiedBy>
  <cp:lastPrinted>2015-12-10T00:59:41Z</cp:lastPrinted>
  <dcterms:created xsi:type="dcterms:W3CDTF">2015-12-06T23:48:22Z</dcterms:created>
  <dcterms:modified xsi:type="dcterms:W3CDTF">2017-03-12T10:07:05Z</dcterms:modified>
</cp:coreProperties>
</file>