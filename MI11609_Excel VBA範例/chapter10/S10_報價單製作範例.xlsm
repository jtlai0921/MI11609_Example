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xcel\Google 雲端硬碟\★7書籍相關\★日文vba\Excel VBA範例\chapter10\"/>
    </mc:Choice>
  </mc:AlternateContent>
  <bookViews>
    <workbookView xWindow="0" yWindow="0" windowWidth="21600" windowHeight="9465"/>
  </bookViews>
  <sheets>
    <sheet name="報價單表單" sheetId="1" r:id="rId1"/>
    <sheet name="歷史報價" sheetId="2" r:id="rId2"/>
  </sheets>
  <definedNames>
    <definedName name="_xlnm.Print_Area" localSheetId="0">報價單表單!$B$2:$F$25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7" i="1" l="1"/>
  <c r="D15" i="1"/>
  <c r="F15" i="1" s="1"/>
  <c r="D16" i="1"/>
  <c r="F16" i="1" s="1"/>
  <c r="D17" i="1"/>
  <c r="D18" i="1"/>
  <c r="F18" i="1" s="1"/>
  <c r="D14" i="1"/>
  <c r="F14" i="1" s="1"/>
  <c r="B15" i="1"/>
  <c r="B16" i="1"/>
  <c r="B17" i="1"/>
  <c r="B18" i="1"/>
  <c r="B14" i="1"/>
  <c r="C7" i="1"/>
  <c r="F19" i="1" l="1"/>
  <c r="F20" i="1" s="1"/>
  <c r="F21" i="1" l="1"/>
  <c r="B11" i="1" s="1"/>
</calcChain>
</file>

<file path=xl/sharedStrings.xml><?xml version="1.0" encoding="utf-8"?>
<sst xmlns="http://schemas.openxmlformats.org/spreadsheetml/2006/main" count="87" uniqueCount="70">
  <si>
    <t>株式会社　サンプル○×</t>
    <rPh sb="0" eb="2">
      <t>カブシキ</t>
    </rPh>
    <rPh sb="2" eb="4">
      <t>カイシャ</t>
    </rPh>
    <phoneticPr fontId="1"/>
  </si>
  <si>
    <t>〒○○○-○○　××県××市××</t>
    <rPh sb="10" eb="11">
      <t>ケン</t>
    </rPh>
    <rPh sb="13" eb="14">
      <t>シ</t>
    </rPh>
    <phoneticPr fontId="1"/>
  </si>
  <si>
    <t>電話：999-999-9999</t>
    <rPh sb="0" eb="2">
      <t>デンワ</t>
    </rPh>
    <phoneticPr fontId="1"/>
  </si>
  <si>
    <t>金額</t>
    <rPh sb="0" eb="2">
      <t>キンガク</t>
    </rPh>
    <phoneticPr fontId="2"/>
  </si>
  <si>
    <t>小計</t>
    <rPh sb="0" eb="2">
      <t>ショウケイ</t>
    </rPh>
    <phoneticPr fontId="2"/>
  </si>
  <si>
    <t>合計</t>
    <rPh sb="0" eb="2">
      <t>ゴウケイ</t>
    </rPh>
    <phoneticPr fontId="2"/>
  </si>
  <si>
    <t>ID</t>
    <phoneticPr fontId="2"/>
  </si>
  <si>
    <t>商品名</t>
    <rPh sb="0" eb="3">
      <t>ショウヒンメイ</t>
    </rPh>
    <phoneticPr fontId="1"/>
  </si>
  <si>
    <t>金額</t>
    <rPh sb="0" eb="2">
      <t>キンガク</t>
    </rPh>
    <phoneticPr fontId="1"/>
  </si>
  <si>
    <t>S01</t>
    <phoneticPr fontId="2"/>
  </si>
  <si>
    <t>S02</t>
    <phoneticPr fontId="2"/>
  </si>
  <si>
    <t>S03</t>
    <phoneticPr fontId="2"/>
  </si>
  <si>
    <t>S04</t>
    <phoneticPr fontId="2"/>
  </si>
  <si>
    <t>S05</t>
    <phoneticPr fontId="2"/>
  </si>
  <si>
    <t>S06</t>
    <phoneticPr fontId="2"/>
  </si>
  <si>
    <t>S07</t>
    <phoneticPr fontId="2"/>
  </si>
  <si>
    <t>S08</t>
    <phoneticPr fontId="2"/>
  </si>
  <si>
    <t>後藤</t>
    <rPh sb="0" eb="2">
      <t>ゴトウ</t>
    </rPh>
    <phoneticPr fontId="2"/>
  </si>
  <si>
    <t>佐野</t>
    <rPh sb="0" eb="2">
      <t>サノ</t>
    </rPh>
    <phoneticPr fontId="2"/>
  </si>
  <si>
    <t>黒川</t>
    <rPh sb="0" eb="2">
      <t>クロカワ</t>
    </rPh>
    <phoneticPr fontId="2"/>
  </si>
  <si>
    <t>太田川</t>
    <rPh sb="0" eb="2">
      <t>オオタ</t>
    </rPh>
    <rPh sb="2" eb="3">
      <t>ガワ</t>
    </rPh>
    <phoneticPr fontId="2"/>
  </si>
  <si>
    <t>中山</t>
    <rPh sb="0" eb="2">
      <t>ナカヤマ</t>
    </rPh>
    <phoneticPr fontId="2"/>
  </si>
  <si>
    <t>課長</t>
    <phoneticPr fontId="2"/>
  </si>
  <si>
    <t>報價單</t>
    <phoneticPr fontId="2"/>
  </si>
  <si>
    <t>報價單編號</t>
    <rPh sb="3" eb="5">
      <t>バンゴウ</t>
    </rPh>
    <phoneticPr fontId="2"/>
  </si>
  <si>
    <t>報價日期</t>
    <rPh sb="0" eb="2">
      <t>ハッコウ</t>
    </rPh>
    <rPh sb="2" eb="3">
      <t>ビ</t>
    </rPh>
    <phoneticPr fontId="2"/>
  </si>
  <si>
    <t>咖啡</t>
  </si>
  <si>
    <t>熱牛奶</t>
  </si>
  <si>
    <t>冰茶</t>
  </si>
  <si>
    <t>抹茶</t>
  </si>
  <si>
    <t>葡萄</t>
  </si>
  <si>
    <t>巧克力</t>
    <phoneticPr fontId="2"/>
  </si>
  <si>
    <t>汽水</t>
    <phoneticPr fontId="2"/>
  </si>
  <si>
    <t>負責人</t>
    <rPh sb="0" eb="3">
      <t>タントウシャ</t>
    </rPh>
    <phoneticPr fontId="2"/>
  </si>
  <si>
    <t>商品編號</t>
    <rPh sb="0" eb="2">
      <t>ショウヒン</t>
    </rPh>
    <rPh sb="2" eb="4">
      <t>バンゴウ</t>
    </rPh>
    <phoneticPr fontId="1"/>
  </si>
  <si>
    <t>客戶名稱</t>
    <rPh sb="0" eb="2">
      <t>トリヒキ</t>
    </rPh>
    <rPh sb="2" eb="3">
      <t>サキ</t>
    </rPh>
    <rPh sb="3" eb="4">
      <t>メイ</t>
    </rPh>
    <phoneticPr fontId="2"/>
  </si>
  <si>
    <t>熱呼呼</t>
    <phoneticPr fontId="2"/>
  </si>
  <si>
    <t>上賀屋</t>
    <phoneticPr fontId="2"/>
  </si>
  <si>
    <t>中川企業</t>
    <phoneticPr fontId="2"/>
  </si>
  <si>
    <t>秋本企業</t>
    <phoneticPr fontId="2"/>
  </si>
  <si>
    <t>立石企業</t>
    <phoneticPr fontId="2"/>
  </si>
  <si>
    <t>秋本麗子</t>
    <rPh sb="0" eb="2">
      <t>フクハラ</t>
    </rPh>
    <phoneticPr fontId="2"/>
  </si>
  <si>
    <t>中川圭一</t>
    <rPh sb="0" eb="2">
      <t>ヤベ</t>
    </rPh>
    <phoneticPr fontId="2"/>
  </si>
  <si>
    <t>芝山</t>
    <rPh sb="0" eb="1">
      <t>シバ</t>
    </rPh>
    <phoneticPr fontId="2"/>
  </si>
  <si>
    <t>備註</t>
    <rPh sb="0" eb="2">
      <t>ビコウ</t>
    </rPh>
    <phoneticPr fontId="2"/>
  </si>
  <si>
    <t>消費稅</t>
    <rPh sb="0" eb="3">
      <t>ショウヒゼイ</t>
    </rPh>
    <phoneticPr fontId="2"/>
  </si>
  <si>
    <t>商品編號</t>
    <rPh sb="0" eb="2">
      <t>ショウヒン</t>
    </rPh>
    <rPh sb="2" eb="4">
      <t>バンゴウ</t>
    </rPh>
    <phoneticPr fontId="2"/>
  </si>
  <si>
    <t>商品名稱</t>
    <rPh sb="0" eb="2">
      <t>ショウヒン</t>
    </rPh>
    <phoneticPr fontId="2"/>
  </si>
  <si>
    <t>單價</t>
    <rPh sb="0" eb="2">
      <t>タンカ</t>
    </rPh>
    <phoneticPr fontId="2"/>
  </si>
  <si>
    <t>數量</t>
    <rPh sb="0" eb="2">
      <t>スウリョウ</t>
    </rPh>
    <phoneticPr fontId="2"/>
  </si>
  <si>
    <t>負責人：</t>
    <rPh sb="0" eb="3">
      <t>タントウシャ</t>
    </rPh>
    <phoneticPr fontId="2"/>
  </si>
  <si>
    <t>索尼</t>
    <phoneticPr fontId="2"/>
  </si>
  <si>
    <t>夏普</t>
    <phoneticPr fontId="2"/>
  </si>
  <si>
    <t>職稱：</t>
    <rPh sb="0" eb="2">
      <t>タントウ</t>
    </rPh>
    <phoneticPr fontId="2"/>
  </si>
  <si>
    <t>客戶名單</t>
    <rPh sb="0" eb="2">
      <t>トリヒキ</t>
    </rPh>
    <rPh sb="2" eb="3">
      <t>サキ</t>
    </rPh>
    <phoneticPr fontId="2"/>
  </si>
  <si>
    <t>商品列表</t>
    <rPh sb="0" eb="2">
      <t>ショウヒン</t>
    </rPh>
    <phoneticPr fontId="2"/>
  </si>
  <si>
    <t>希洛</t>
    <phoneticPr fontId="2"/>
  </si>
  <si>
    <t>客戶</t>
    <phoneticPr fontId="2"/>
  </si>
  <si>
    <t>連絡人</t>
    <phoneticPr fontId="2"/>
  </si>
  <si>
    <t>報價單編號</t>
    <phoneticPr fontId="2"/>
  </si>
  <si>
    <t>日期</t>
    <phoneticPr fontId="2"/>
  </si>
  <si>
    <t>負責人</t>
    <phoneticPr fontId="2"/>
  </si>
  <si>
    <t>柳丁</t>
  </si>
  <si>
    <t>柳丁</t>
    <phoneticPr fontId="2"/>
  </si>
  <si>
    <t>S01</t>
  </si>
  <si>
    <t>S02</t>
  </si>
  <si>
    <t>S03</t>
  </si>
  <si>
    <t>課長</t>
  </si>
  <si>
    <t>索尼</t>
  </si>
  <si>
    <t>芝山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</si>
</sst>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yyyy&quot;年&quot;m&quot;月&quot;d&quot;日&quot;;@"/>
    <numFmt numFmtId="177" formatCode="@\ &quot;有限公司&quot;"/>
    <numFmt numFmtId="178" formatCode="&quot;報價單金額：&quot;#,###&quot;元&quot;"/>
  </numFmts>
  <fonts count="8" x14ac:knownFonts="1">
    <font>
      <sz val="11"/>
      <color theme="1"/>
      <name val="新細明體"/>
      <family val="2"/>
      <charset val="128"/>
      <scheme val="minor"/>
    </font>
    <font>
      <sz val="11"/>
      <color theme="1"/>
      <name val="新細明體"/>
      <family val="2"/>
      <charset val="128"/>
      <scheme val="minor"/>
    </font>
    <font>
      <sz val="6"/>
      <name val="新細明體"/>
      <family val="2"/>
      <charset val="128"/>
      <scheme val="minor"/>
    </font>
    <font>
      <b/>
      <sz val="18"/>
      <color theme="0"/>
      <name val="微軟正黑體"/>
      <family val="2"/>
      <charset val="136"/>
    </font>
    <font>
      <sz val="11"/>
      <color theme="1"/>
      <name val="微軟正黑體"/>
      <family val="2"/>
      <charset val="136"/>
    </font>
    <font>
      <sz val="14"/>
      <color theme="1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theme="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38" fontId="0" fillId="0" borderId="0" xfId="1" applyFont="1">
      <alignment vertical="center"/>
    </xf>
    <xf numFmtId="0" fontId="4" fillId="0" borderId="0" xfId="0" applyFont="1">
      <alignment vertical="center"/>
    </xf>
    <xf numFmtId="0" fontId="4" fillId="3" borderId="2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3" borderId="3" xfId="0" applyFont="1" applyFill="1" applyBorder="1">
      <alignment vertical="center"/>
    </xf>
    <xf numFmtId="176" fontId="4" fillId="0" borderId="3" xfId="0" applyNumberFormat="1" applyFont="1" applyBorder="1">
      <alignment vertical="center"/>
    </xf>
    <xf numFmtId="0" fontId="6" fillId="0" borderId="3" xfId="0" applyFont="1" applyBorder="1" applyAlignment="1">
      <alignment horizontal="right" vertical="center"/>
    </xf>
    <xf numFmtId="0" fontId="4" fillId="0" borderId="3" xfId="0" applyNumberFormat="1" applyFont="1" applyBorder="1" applyAlignment="1">
      <alignment horizontal="left" vertical="center"/>
    </xf>
    <xf numFmtId="0" fontId="4" fillId="0" borderId="0" xfId="0" applyFont="1" applyAlignment="1">
      <alignment horizontal="right" vertical="center"/>
    </xf>
    <xf numFmtId="0" fontId="4" fillId="3" borderId="2" xfId="0" applyFont="1" applyFill="1" applyBorder="1" applyAlignment="1">
      <alignment horizontal="right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38" fontId="4" fillId="0" borderId="1" xfId="1" applyFont="1" applyBorder="1">
      <alignment vertical="center"/>
    </xf>
    <xf numFmtId="0" fontId="4" fillId="3" borderId="1" xfId="0" applyFont="1" applyFill="1" applyBorder="1">
      <alignment vertical="center"/>
    </xf>
    <xf numFmtId="38" fontId="4" fillId="0" borderId="13" xfId="1" applyFont="1" applyBorder="1">
      <alignment vertical="center"/>
    </xf>
    <xf numFmtId="38" fontId="4" fillId="0" borderId="12" xfId="1" applyFont="1" applyBorder="1">
      <alignment vertical="center"/>
    </xf>
    <xf numFmtId="38" fontId="4" fillId="0" borderId="11" xfId="1" applyFont="1" applyBorder="1">
      <alignment vertical="center"/>
    </xf>
    <xf numFmtId="0" fontId="4" fillId="0" borderId="0" xfId="0" applyFont="1" applyAlignment="1"/>
    <xf numFmtId="177" fontId="5" fillId="0" borderId="2" xfId="0" applyNumberFormat="1" applyFont="1" applyBorder="1">
      <alignment vertical="center"/>
    </xf>
    <xf numFmtId="38" fontId="4" fillId="3" borderId="1" xfId="1" applyFont="1" applyFill="1" applyBorder="1" applyAlignment="1">
      <alignment horizontal="center" vertical="center"/>
    </xf>
    <xf numFmtId="14" fontId="4" fillId="0" borderId="0" xfId="0" applyNumberFormat="1" applyFont="1">
      <alignment vertical="center"/>
    </xf>
    <xf numFmtId="38" fontId="4" fillId="0" borderId="0" xfId="1" applyFont="1">
      <alignment vertical="center"/>
    </xf>
    <xf numFmtId="0" fontId="4" fillId="0" borderId="7" xfId="0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4" fillId="0" borderId="9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0" borderId="10" xfId="0" applyFont="1" applyBorder="1" applyAlignment="1">
      <alignment horizontal="left" vertical="center"/>
    </xf>
    <xf numFmtId="178" fontId="7" fillId="0" borderId="2" xfId="0" applyNumberFormat="1" applyFont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4" fillId="0" borderId="4" xfId="0" applyFont="1" applyBorder="1" applyAlignment="1">
      <alignment horizontal="left" vertical="center"/>
    </xf>
    <xf numFmtId="0" fontId="4" fillId="0" borderId="5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</cellXfs>
  <cellStyles count="2">
    <cellStyle name="一般" xfId="0" builtinId="0"/>
    <cellStyle name="千分位[0]" xfId="1" builtinId="6"/>
  </cellStyles>
  <dxfs count="10"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客戶名單" displayName="客戶名單" ref="B29:D37" totalsRowShown="0" headerRowDxfId="9" dataDxfId="8">
  <autoFilter ref="B29:D37"/>
  <tableColumns count="3">
    <tableColumn id="1" name="ID" dataDxfId="7"/>
    <tableColumn id="2" name="客戶名稱" dataDxfId="6"/>
    <tableColumn id="3" name="負責人" dataDxfId="5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id="2" name="商品名單" displayName="商品名單" ref="F29:H37" totalsRowShown="0" headerRowDxfId="4" dataDxfId="3">
  <autoFilter ref="F29:H37"/>
  <tableColumns count="3">
    <tableColumn id="1" name="商品編號" dataDxfId="2"/>
    <tableColumn id="2" name="商品名" dataDxfId="1"/>
    <tableColumn id="3" name="金額" dataDxfId="0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2:H37"/>
  <sheetViews>
    <sheetView tabSelected="1" zoomScale="115" zoomScaleNormal="115" workbookViewId="0">
      <selection activeCell="D14" sqref="D14"/>
    </sheetView>
  </sheetViews>
  <sheetFormatPr defaultRowHeight="15.75" x14ac:dyDescent="0.25"/>
  <cols>
    <col min="1" max="1" width="5.7109375" customWidth="1"/>
    <col min="2" max="2" width="12.28515625" customWidth="1"/>
    <col min="3" max="3" width="30.5703125" customWidth="1"/>
    <col min="4" max="4" width="13.85546875" customWidth="1"/>
    <col min="5" max="5" width="13.42578125" customWidth="1"/>
    <col min="6" max="6" width="23.7109375" customWidth="1"/>
    <col min="7" max="7" width="13" bestFit="1" customWidth="1"/>
    <col min="8" max="8" width="10" customWidth="1"/>
    <col min="9" max="9" width="23.42578125" bestFit="1" customWidth="1"/>
    <col min="10" max="10" width="8.7109375" customWidth="1"/>
    <col min="11" max="11" width="5.28515625" customWidth="1"/>
    <col min="12" max="12" width="11.28515625" bestFit="1" customWidth="1"/>
    <col min="13" max="13" width="13" bestFit="1" customWidth="1"/>
  </cols>
  <sheetData>
    <row r="2" spans="2:8" ht="24" x14ac:dyDescent="0.25">
      <c r="B2" s="30" t="s">
        <v>23</v>
      </c>
      <c r="C2" s="30"/>
      <c r="D2" s="30"/>
      <c r="E2" s="30"/>
      <c r="F2" s="30"/>
      <c r="G2" s="2"/>
      <c r="H2" s="2"/>
    </row>
    <row r="3" spans="2:8" x14ac:dyDescent="0.25">
      <c r="B3" s="2"/>
      <c r="C3" s="2"/>
      <c r="D3" s="2"/>
      <c r="E3" s="2"/>
      <c r="F3" s="2"/>
      <c r="G3" s="2"/>
      <c r="H3" s="2"/>
    </row>
    <row r="4" spans="2:8" x14ac:dyDescent="0.25">
      <c r="B4" s="2"/>
      <c r="C4" s="2"/>
      <c r="D4" s="2"/>
      <c r="E4" s="3" t="s">
        <v>24</v>
      </c>
      <c r="F4" s="4">
        <v>1</v>
      </c>
      <c r="G4" s="2"/>
      <c r="H4" s="2"/>
    </row>
    <row r="5" spans="2:8" x14ac:dyDescent="0.25">
      <c r="B5" s="2"/>
      <c r="C5" s="2"/>
      <c r="D5" s="2"/>
      <c r="E5" s="5" t="s">
        <v>25</v>
      </c>
      <c r="F5" s="6">
        <v>42391</v>
      </c>
      <c r="G5" s="2"/>
      <c r="H5" s="2"/>
    </row>
    <row r="6" spans="2:8" ht="18.75" x14ac:dyDescent="0.25">
      <c r="B6" s="19" t="s">
        <v>68</v>
      </c>
      <c r="C6" s="4"/>
      <c r="D6" s="2"/>
      <c r="E6" s="2"/>
      <c r="F6" s="2"/>
      <c r="G6" s="2"/>
      <c r="H6" s="2"/>
    </row>
    <row r="7" spans="2:8" x14ac:dyDescent="0.25">
      <c r="B7" s="7" t="s">
        <v>50</v>
      </c>
      <c r="C7" s="8" t="str">
        <f>VLOOKUP(B6,客戶名單[[#All],[客戶名稱]:[負責人]],2,0)</f>
        <v>芝山</v>
      </c>
      <c r="D7" s="2"/>
      <c r="E7" s="2"/>
      <c r="F7" s="9" t="s">
        <v>0</v>
      </c>
      <c r="G7" s="2"/>
      <c r="H7" s="2"/>
    </row>
    <row r="8" spans="2:8" x14ac:dyDescent="0.25">
      <c r="B8" s="2"/>
      <c r="C8" s="2"/>
      <c r="D8" s="2"/>
      <c r="E8" s="2"/>
      <c r="F8" s="9" t="s">
        <v>1</v>
      </c>
      <c r="G8" s="2"/>
      <c r="H8" s="2"/>
    </row>
    <row r="9" spans="2:8" x14ac:dyDescent="0.25">
      <c r="B9" s="2"/>
      <c r="C9" s="2"/>
      <c r="D9" s="2"/>
      <c r="E9" s="2"/>
      <c r="F9" s="9" t="s">
        <v>2</v>
      </c>
      <c r="G9" s="2"/>
      <c r="H9" s="2"/>
    </row>
    <row r="10" spans="2:8" x14ac:dyDescent="0.25">
      <c r="B10" s="2"/>
      <c r="C10" s="2"/>
      <c r="D10" s="2"/>
      <c r="E10" s="10" t="s">
        <v>53</v>
      </c>
      <c r="F10" s="4" t="s">
        <v>22</v>
      </c>
      <c r="G10" s="2"/>
      <c r="H10" s="2"/>
    </row>
    <row r="11" spans="2:8" ht="26.25" x14ac:dyDescent="0.25">
      <c r="B11" s="29">
        <f>F21</f>
        <v>2430</v>
      </c>
      <c r="C11" s="29"/>
      <c r="D11" s="29"/>
      <c r="E11" s="2"/>
      <c r="F11" s="2"/>
      <c r="G11" s="2"/>
      <c r="H11" s="2"/>
    </row>
    <row r="12" spans="2:8" x14ac:dyDescent="0.25">
      <c r="B12" s="2"/>
      <c r="C12" s="2"/>
      <c r="D12" s="2"/>
      <c r="E12" s="2"/>
      <c r="F12" s="2"/>
      <c r="G12" s="2"/>
      <c r="H12" s="2"/>
    </row>
    <row r="13" spans="2:8" x14ac:dyDescent="0.25">
      <c r="B13" s="11" t="s">
        <v>46</v>
      </c>
      <c r="C13" s="11" t="s">
        <v>47</v>
      </c>
      <c r="D13" s="11" t="s">
        <v>48</v>
      </c>
      <c r="E13" s="11" t="s">
        <v>49</v>
      </c>
      <c r="F13" s="11" t="s">
        <v>3</v>
      </c>
      <c r="G13" s="2"/>
      <c r="H13" s="2"/>
    </row>
    <row r="14" spans="2:8" x14ac:dyDescent="0.25">
      <c r="B14" s="12" t="str">
        <f>IFERROR(VLOOKUP(C14,CHOOSE({1,2},商品名單[商品名],商品名單[商品編號]),2,0),"")</f>
        <v>S01</v>
      </c>
      <c r="C14" s="12" t="s">
        <v>26</v>
      </c>
      <c r="D14" s="13">
        <f>IFERROR(VLOOKUP(C14,商品名單[[商品名]:[金額]],2,0),"")</f>
        <v>350</v>
      </c>
      <c r="E14" s="12">
        <v>3</v>
      </c>
      <c r="F14" s="13">
        <f>IFERROR(E14*D14,"")</f>
        <v>1050</v>
      </c>
      <c r="G14" s="2"/>
      <c r="H14" s="2"/>
    </row>
    <row r="15" spans="2:8" x14ac:dyDescent="0.25">
      <c r="B15" s="12" t="str">
        <f>IFERROR(VLOOKUP(C15,CHOOSE({1,2},商品名單[商品名],商品名單[商品編號]),2,0),"")</f>
        <v>S02</v>
      </c>
      <c r="C15" s="12" t="s">
        <v>62</v>
      </c>
      <c r="D15" s="13">
        <f>IFERROR(VLOOKUP(C15,商品名單[[商品名]:[金額]],2,0),"")</f>
        <v>400</v>
      </c>
      <c r="E15" s="12">
        <v>2</v>
      </c>
      <c r="F15" s="13">
        <f t="shared" ref="F15:F18" si="0">IFERROR(E15*D15,"")</f>
        <v>800</v>
      </c>
      <c r="G15" s="2"/>
      <c r="H15" s="2"/>
    </row>
    <row r="16" spans="2:8" x14ac:dyDescent="0.25">
      <c r="B16" s="12" t="str">
        <f>IFERROR(VLOOKUP(C16,CHOOSE({1,2},商品名單[商品名],商品名單[商品編號]),2,0),"")</f>
        <v>S03</v>
      </c>
      <c r="C16" s="12" t="s">
        <v>27</v>
      </c>
      <c r="D16" s="13">
        <f>IFERROR(VLOOKUP(C16,商品名單[[商品名]:[金額]],2,0),"")</f>
        <v>400</v>
      </c>
      <c r="E16" s="12">
        <v>1</v>
      </c>
      <c r="F16" s="13">
        <f t="shared" si="0"/>
        <v>400</v>
      </c>
      <c r="G16" s="2"/>
      <c r="H16" s="2"/>
    </row>
    <row r="17" spans="2:8" x14ac:dyDescent="0.25">
      <c r="B17" s="12" t="str">
        <f>IFERROR(VLOOKUP(C17,CHOOSE({1,2},商品名單[商品名],商品名單[商品編號]),2,0),"")</f>
        <v/>
      </c>
      <c r="C17" s="12"/>
      <c r="D17" s="13" t="str">
        <f>IFERROR(VLOOKUP(C17,商品名單[[商品名]:[金額]],2,0),"")</f>
        <v/>
      </c>
      <c r="E17" s="12"/>
      <c r="F17" s="13" t="str">
        <f t="shared" si="0"/>
        <v/>
      </c>
      <c r="G17" s="2"/>
      <c r="H17" s="2"/>
    </row>
    <row r="18" spans="2:8" ht="16.5" thickBot="1" x14ac:dyDescent="0.3">
      <c r="B18" s="12" t="str">
        <f>IFERROR(VLOOKUP(C18,CHOOSE({1,2},商品名單[商品名],商品名單[商品編號]),2,0),"")</f>
        <v/>
      </c>
      <c r="C18" s="12"/>
      <c r="D18" s="13" t="str">
        <f>IFERROR(VLOOKUP(C18,商品名單[[商品名]:[金額]],2,0),"")</f>
        <v/>
      </c>
      <c r="E18" s="12"/>
      <c r="F18" s="13" t="str">
        <f t="shared" si="0"/>
        <v/>
      </c>
      <c r="G18" s="2"/>
      <c r="H18" s="2"/>
    </row>
    <row r="19" spans="2:8" ht="16.5" thickTop="1" x14ac:dyDescent="0.25">
      <c r="B19" s="2"/>
      <c r="C19" s="2"/>
      <c r="D19" s="2"/>
      <c r="E19" s="14" t="s">
        <v>4</v>
      </c>
      <c r="F19" s="15">
        <f>SUM(F14:F18)</f>
        <v>2250</v>
      </c>
      <c r="G19" s="2"/>
      <c r="H19" s="2"/>
    </row>
    <row r="20" spans="2:8" ht="16.5" thickBot="1" x14ac:dyDescent="0.3">
      <c r="B20" s="2"/>
      <c r="C20" s="2"/>
      <c r="D20" s="2"/>
      <c r="E20" s="14" t="s">
        <v>45</v>
      </c>
      <c r="F20" s="16">
        <f>ROUND(F19*0.08,0)</f>
        <v>180</v>
      </c>
      <c r="G20" s="2"/>
      <c r="H20" s="2"/>
    </row>
    <row r="21" spans="2:8" ht="16.5" thickTop="1" x14ac:dyDescent="0.25">
      <c r="B21" s="2"/>
      <c r="C21" s="2"/>
      <c r="D21" s="2"/>
      <c r="E21" s="14" t="s">
        <v>5</v>
      </c>
      <c r="F21" s="17">
        <f>SUM(F19:F20)</f>
        <v>2430</v>
      </c>
      <c r="G21" s="2"/>
      <c r="H21" s="2"/>
    </row>
    <row r="22" spans="2:8" x14ac:dyDescent="0.25">
      <c r="B22" s="2" t="s">
        <v>44</v>
      </c>
      <c r="C22" s="2"/>
      <c r="D22" s="2"/>
      <c r="E22" s="2"/>
      <c r="F22" s="2"/>
      <c r="G22" s="2"/>
      <c r="H22" s="2"/>
    </row>
    <row r="23" spans="2:8" x14ac:dyDescent="0.25">
      <c r="B23" s="31"/>
      <c r="C23" s="32"/>
      <c r="D23" s="32"/>
      <c r="E23" s="32"/>
      <c r="F23" s="33"/>
      <c r="G23" s="2"/>
      <c r="H23" s="2"/>
    </row>
    <row r="24" spans="2:8" x14ac:dyDescent="0.25">
      <c r="B24" s="23"/>
      <c r="C24" s="24"/>
      <c r="D24" s="24"/>
      <c r="E24" s="24"/>
      <c r="F24" s="25"/>
      <c r="G24" s="2"/>
      <c r="H24" s="2"/>
    </row>
    <row r="25" spans="2:8" x14ac:dyDescent="0.25">
      <c r="B25" s="26"/>
      <c r="C25" s="27"/>
      <c r="D25" s="27"/>
      <c r="E25" s="27"/>
      <c r="F25" s="28"/>
      <c r="G25" s="2"/>
      <c r="H25" s="2"/>
    </row>
    <row r="26" spans="2:8" x14ac:dyDescent="0.25">
      <c r="B26" s="2"/>
      <c r="C26" s="2"/>
      <c r="D26" s="2"/>
      <c r="E26" s="2"/>
      <c r="F26" s="2"/>
      <c r="G26" s="2"/>
      <c r="H26" s="2"/>
    </row>
    <row r="27" spans="2:8" x14ac:dyDescent="0.25">
      <c r="B27" s="2"/>
      <c r="C27" s="2"/>
      <c r="D27" s="2"/>
      <c r="E27" s="2"/>
      <c r="F27" s="2"/>
      <c r="G27" s="2"/>
      <c r="H27" s="2"/>
    </row>
    <row r="28" spans="2:8" x14ac:dyDescent="0.25">
      <c r="B28" s="18" t="s">
        <v>54</v>
      </c>
      <c r="C28" s="2"/>
      <c r="D28" s="2"/>
      <c r="E28" s="2"/>
      <c r="F28" s="2" t="s">
        <v>55</v>
      </c>
      <c r="G28" s="2"/>
      <c r="H28" s="2"/>
    </row>
    <row r="29" spans="2:8" x14ac:dyDescent="0.25">
      <c r="B29" s="2" t="s">
        <v>6</v>
      </c>
      <c r="C29" s="2" t="s">
        <v>35</v>
      </c>
      <c r="D29" s="2" t="s">
        <v>33</v>
      </c>
      <c r="E29" s="2"/>
      <c r="F29" s="2" t="s">
        <v>34</v>
      </c>
      <c r="G29" s="2" t="s">
        <v>7</v>
      </c>
      <c r="H29" s="2" t="s">
        <v>8</v>
      </c>
    </row>
    <row r="30" spans="2:8" x14ac:dyDescent="0.25">
      <c r="B30" s="2">
        <v>1</v>
      </c>
      <c r="C30" s="2" t="s">
        <v>36</v>
      </c>
      <c r="D30" s="2" t="s">
        <v>17</v>
      </c>
      <c r="E30" s="2"/>
      <c r="F30" s="2" t="s">
        <v>9</v>
      </c>
      <c r="G30" s="2" t="s">
        <v>26</v>
      </c>
      <c r="H30" s="2">
        <v>350</v>
      </c>
    </row>
    <row r="31" spans="2:8" x14ac:dyDescent="0.25">
      <c r="B31" s="2">
        <v>2</v>
      </c>
      <c r="C31" s="2" t="s">
        <v>37</v>
      </c>
      <c r="D31" s="2" t="s">
        <v>18</v>
      </c>
      <c r="E31" s="2"/>
      <c r="F31" s="2" t="s">
        <v>10</v>
      </c>
      <c r="G31" s="2" t="s">
        <v>63</v>
      </c>
      <c r="H31" s="2">
        <v>400</v>
      </c>
    </row>
    <row r="32" spans="2:8" x14ac:dyDescent="0.25">
      <c r="B32" s="2">
        <v>3</v>
      </c>
      <c r="C32" s="2" t="s">
        <v>38</v>
      </c>
      <c r="D32" s="2" t="s">
        <v>42</v>
      </c>
      <c r="E32" s="2"/>
      <c r="F32" s="2" t="s">
        <v>11</v>
      </c>
      <c r="G32" s="2" t="s">
        <v>27</v>
      </c>
      <c r="H32" s="2">
        <v>400</v>
      </c>
    </row>
    <row r="33" spans="2:8" x14ac:dyDescent="0.25">
      <c r="B33" s="2">
        <v>4</v>
      </c>
      <c r="C33" s="2" t="s">
        <v>39</v>
      </c>
      <c r="D33" s="2" t="s">
        <v>41</v>
      </c>
      <c r="E33" s="2"/>
      <c r="F33" s="2" t="s">
        <v>12</v>
      </c>
      <c r="G33" s="2" t="s">
        <v>28</v>
      </c>
      <c r="H33" s="2">
        <v>450</v>
      </c>
    </row>
    <row r="34" spans="2:8" x14ac:dyDescent="0.25">
      <c r="B34" s="2">
        <v>5</v>
      </c>
      <c r="C34" s="2" t="s">
        <v>40</v>
      </c>
      <c r="D34" s="2" t="s">
        <v>19</v>
      </c>
      <c r="E34" s="2"/>
      <c r="F34" s="2" t="s">
        <v>13</v>
      </c>
      <c r="G34" s="2" t="s">
        <v>29</v>
      </c>
      <c r="H34" s="2">
        <v>500</v>
      </c>
    </row>
    <row r="35" spans="2:8" x14ac:dyDescent="0.25">
      <c r="B35" s="2">
        <v>6</v>
      </c>
      <c r="C35" s="2" t="s">
        <v>56</v>
      </c>
      <c r="D35" s="2" t="s">
        <v>20</v>
      </c>
      <c r="E35" s="2"/>
      <c r="F35" s="2" t="s">
        <v>14</v>
      </c>
      <c r="G35" s="2" t="s">
        <v>30</v>
      </c>
      <c r="H35" s="2">
        <v>600</v>
      </c>
    </row>
    <row r="36" spans="2:8" x14ac:dyDescent="0.25">
      <c r="B36" s="2">
        <v>7</v>
      </c>
      <c r="C36" s="2" t="s">
        <v>51</v>
      </c>
      <c r="D36" s="2" t="s">
        <v>43</v>
      </c>
      <c r="E36" s="2"/>
      <c r="F36" s="2" t="s">
        <v>15</v>
      </c>
      <c r="G36" s="2" t="s">
        <v>31</v>
      </c>
      <c r="H36" s="2">
        <v>800</v>
      </c>
    </row>
    <row r="37" spans="2:8" x14ac:dyDescent="0.25">
      <c r="B37" s="2">
        <v>8</v>
      </c>
      <c r="C37" s="2" t="s">
        <v>52</v>
      </c>
      <c r="D37" s="2" t="s">
        <v>21</v>
      </c>
      <c r="E37" s="2"/>
      <c r="F37" s="2" t="s">
        <v>16</v>
      </c>
      <c r="G37" s="2" t="s">
        <v>32</v>
      </c>
      <c r="H37" s="2">
        <v>800</v>
      </c>
    </row>
  </sheetData>
  <mergeCells count="5">
    <mergeCell ref="B24:F24"/>
    <mergeCell ref="B25:F25"/>
    <mergeCell ref="B11:D11"/>
    <mergeCell ref="B2:F2"/>
    <mergeCell ref="B23:F23"/>
  </mergeCells>
  <phoneticPr fontId="2"/>
  <dataValidations disablePrompts="1" count="2">
    <dataValidation type="list" allowBlank="1" showInputMessage="1" showErrorMessage="1" sqref="B6">
      <formula1>$C$30:$C$37</formula1>
    </dataValidation>
    <dataValidation type="list" allowBlank="1" showInputMessage="1" showErrorMessage="1" sqref="C14:C18">
      <formula1>$G$30:$G$37</formula1>
    </dataValidation>
  </dataValidations>
  <pageMargins left="0.7" right="0.7" top="0.75" bottom="0.75" header="0.3" footer="0.3"/>
  <pageSetup paperSize="9" orientation="landscape" horizontalDpi="1200" verticalDpi="1200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K19"/>
  <sheetViews>
    <sheetView zoomScale="130" zoomScaleNormal="130" workbookViewId="0">
      <selection activeCell="F12" sqref="F12"/>
    </sheetView>
  </sheetViews>
  <sheetFormatPr defaultRowHeight="15.75" x14ac:dyDescent="0.25"/>
  <cols>
    <col min="1" max="1" width="5.5703125" customWidth="1"/>
    <col min="2" max="2" width="11" bestFit="1" customWidth="1"/>
    <col min="3" max="3" width="14.7109375" customWidth="1"/>
    <col min="4" max="4" width="10.5703125" bestFit="1" customWidth="1"/>
    <col min="5" max="5" width="13" bestFit="1" customWidth="1"/>
    <col min="6" max="6" width="11.7109375" customWidth="1"/>
    <col min="7" max="7" width="10.42578125" customWidth="1"/>
    <col min="8" max="8" width="20.5703125" customWidth="1"/>
    <col min="9" max="9" width="10.5703125" style="1" customWidth="1"/>
    <col min="10" max="10" width="8.5703125" customWidth="1"/>
    <col min="11" max="11" width="12.5703125" style="1" customWidth="1"/>
  </cols>
  <sheetData>
    <row r="2" spans="2:11" x14ac:dyDescent="0.25">
      <c r="B2" s="11" t="s">
        <v>59</v>
      </c>
      <c r="C2" s="11" t="s">
        <v>60</v>
      </c>
      <c r="D2" s="11" t="s">
        <v>57</v>
      </c>
      <c r="E2" s="11" t="s">
        <v>58</v>
      </c>
      <c r="F2" s="11" t="s">
        <v>61</v>
      </c>
      <c r="G2" s="11" t="s">
        <v>46</v>
      </c>
      <c r="H2" s="11" t="s">
        <v>47</v>
      </c>
      <c r="I2" s="20" t="s">
        <v>48</v>
      </c>
      <c r="J2" s="11" t="s">
        <v>49</v>
      </c>
      <c r="K2" s="20" t="s">
        <v>3</v>
      </c>
    </row>
    <row r="3" spans="2:11" x14ac:dyDescent="0.25">
      <c r="B3" s="2">
        <v>1</v>
      </c>
      <c r="C3" s="21">
        <v>42391</v>
      </c>
      <c r="D3" s="2" t="s">
        <v>68</v>
      </c>
      <c r="E3" s="2" t="s">
        <v>69</v>
      </c>
      <c r="F3" s="2" t="s">
        <v>67</v>
      </c>
      <c r="G3" s="2" t="s">
        <v>64</v>
      </c>
      <c r="H3" s="2" t="s">
        <v>26</v>
      </c>
      <c r="I3" s="22">
        <v>350</v>
      </c>
      <c r="J3" s="2">
        <v>3</v>
      </c>
      <c r="K3" s="22">
        <v>1050</v>
      </c>
    </row>
    <row r="4" spans="2:11" x14ac:dyDescent="0.25">
      <c r="B4" s="2">
        <v>1</v>
      </c>
      <c r="C4" s="21">
        <v>42391</v>
      </c>
      <c r="D4" s="2" t="s">
        <v>68</v>
      </c>
      <c r="E4" s="2" t="s">
        <v>69</v>
      </c>
      <c r="F4" s="2" t="s">
        <v>67</v>
      </c>
      <c r="G4" s="2" t="s">
        <v>65</v>
      </c>
      <c r="H4" s="2" t="s">
        <v>62</v>
      </c>
      <c r="I4" s="22">
        <v>400</v>
      </c>
      <c r="J4" s="2">
        <v>2</v>
      </c>
      <c r="K4" s="22">
        <v>800</v>
      </c>
    </row>
    <row r="5" spans="2:11" x14ac:dyDescent="0.25">
      <c r="B5" s="2">
        <v>1</v>
      </c>
      <c r="C5" s="21">
        <v>42391</v>
      </c>
      <c r="D5" s="2" t="s">
        <v>68</v>
      </c>
      <c r="E5" s="2" t="s">
        <v>69</v>
      </c>
      <c r="F5" s="2" t="s">
        <v>67</v>
      </c>
      <c r="G5" s="2" t="s">
        <v>66</v>
      </c>
      <c r="H5" s="2" t="s">
        <v>27</v>
      </c>
      <c r="I5" s="22">
        <v>400</v>
      </c>
      <c r="J5" s="2">
        <v>1</v>
      </c>
      <c r="K5" s="22">
        <v>400</v>
      </c>
    </row>
    <row r="6" spans="2:11" x14ac:dyDescent="0.25">
      <c r="B6" s="2"/>
      <c r="C6" s="21"/>
      <c r="D6" s="2"/>
      <c r="E6" s="2"/>
      <c r="F6" s="2"/>
      <c r="G6" s="2"/>
      <c r="H6" s="2"/>
      <c r="I6" s="22"/>
      <c r="J6" s="2"/>
      <c r="K6" s="22"/>
    </row>
    <row r="7" spans="2:11" x14ac:dyDescent="0.25">
      <c r="B7" s="2"/>
      <c r="C7" s="21"/>
      <c r="D7" s="2"/>
      <c r="E7" s="2"/>
      <c r="F7" s="2"/>
      <c r="G7" s="2"/>
      <c r="H7" s="2"/>
      <c r="I7" s="22"/>
      <c r="J7" s="2"/>
      <c r="K7" s="22"/>
    </row>
    <row r="8" spans="2:11" x14ac:dyDescent="0.25">
      <c r="B8" s="2"/>
      <c r="C8" s="21"/>
      <c r="D8" s="2"/>
      <c r="E8" s="2"/>
      <c r="F8" s="2"/>
      <c r="G8" s="2"/>
      <c r="H8" s="2"/>
      <c r="I8" s="22"/>
      <c r="J8" s="2"/>
      <c r="K8" s="22"/>
    </row>
    <row r="9" spans="2:11" x14ac:dyDescent="0.25">
      <c r="B9" s="2"/>
      <c r="C9" s="21"/>
      <c r="D9" s="2"/>
      <c r="E9" s="2"/>
      <c r="F9" s="2"/>
      <c r="G9" s="2"/>
      <c r="H9" s="2"/>
      <c r="I9" s="22"/>
      <c r="J9" s="2"/>
      <c r="K9" s="22"/>
    </row>
    <row r="10" spans="2:11" x14ac:dyDescent="0.25">
      <c r="B10" s="2"/>
      <c r="C10" s="21"/>
      <c r="D10" s="2"/>
      <c r="E10" s="2"/>
      <c r="F10" s="2"/>
      <c r="G10" s="2"/>
      <c r="H10" s="2"/>
      <c r="I10" s="22"/>
      <c r="J10" s="2"/>
      <c r="K10" s="22"/>
    </row>
    <row r="11" spans="2:11" x14ac:dyDescent="0.25">
      <c r="B11" s="2"/>
      <c r="C11" s="21"/>
      <c r="D11" s="2"/>
      <c r="E11" s="2"/>
      <c r="F11" s="2"/>
      <c r="G11" s="2"/>
      <c r="H11" s="2"/>
      <c r="I11" s="22"/>
      <c r="J11" s="2"/>
      <c r="K11" s="22"/>
    </row>
    <row r="12" spans="2:11" x14ac:dyDescent="0.25">
      <c r="B12" s="2"/>
      <c r="C12" s="2"/>
      <c r="D12" s="2"/>
      <c r="E12" s="2"/>
      <c r="F12" s="2"/>
      <c r="G12" s="2"/>
      <c r="H12" s="2"/>
      <c r="I12" s="22"/>
      <c r="J12" s="2"/>
      <c r="K12" s="22"/>
    </row>
    <row r="13" spans="2:11" x14ac:dyDescent="0.25">
      <c r="B13" s="2"/>
      <c r="C13" s="2"/>
      <c r="D13" s="2"/>
      <c r="E13" s="2"/>
      <c r="F13" s="2"/>
      <c r="G13" s="2"/>
      <c r="H13" s="2"/>
      <c r="I13" s="22"/>
      <c r="J13" s="2"/>
      <c r="K13" s="22"/>
    </row>
    <row r="14" spans="2:11" x14ac:dyDescent="0.25">
      <c r="B14" s="2"/>
      <c r="C14" s="2"/>
      <c r="D14" s="2"/>
      <c r="E14" s="2"/>
      <c r="F14" s="2"/>
      <c r="G14" s="2"/>
      <c r="H14" s="2"/>
      <c r="I14" s="22"/>
      <c r="J14" s="2"/>
      <c r="K14" s="22"/>
    </row>
    <row r="15" spans="2:11" x14ac:dyDescent="0.25">
      <c r="B15" s="2"/>
      <c r="C15" s="2"/>
      <c r="D15" s="2"/>
      <c r="E15" s="2"/>
      <c r="F15" s="2"/>
      <c r="G15" s="2"/>
      <c r="H15" s="2"/>
      <c r="I15" s="22"/>
      <c r="J15" s="2"/>
      <c r="K15" s="22"/>
    </row>
    <row r="16" spans="2:11" x14ac:dyDescent="0.25">
      <c r="B16" s="2"/>
      <c r="C16" s="2"/>
      <c r="D16" s="2"/>
      <c r="E16" s="2"/>
      <c r="F16" s="2"/>
      <c r="G16" s="2"/>
      <c r="H16" s="2"/>
      <c r="I16" s="22"/>
      <c r="J16" s="2"/>
      <c r="K16" s="22"/>
    </row>
    <row r="17" spans="2:11" x14ac:dyDescent="0.25">
      <c r="B17" s="2"/>
      <c r="C17" s="2"/>
      <c r="D17" s="2"/>
      <c r="E17" s="2"/>
      <c r="F17" s="2"/>
      <c r="G17" s="2"/>
      <c r="H17" s="2"/>
      <c r="I17" s="22"/>
      <c r="J17" s="2"/>
      <c r="K17" s="22"/>
    </row>
    <row r="18" spans="2:11" x14ac:dyDescent="0.25">
      <c r="B18" s="2"/>
      <c r="C18" s="2"/>
      <c r="D18" s="2"/>
      <c r="E18" s="2"/>
      <c r="F18" s="2"/>
      <c r="G18" s="2"/>
      <c r="H18" s="2"/>
      <c r="I18" s="22"/>
      <c r="J18" s="2"/>
      <c r="K18" s="22"/>
    </row>
    <row r="19" spans="2:11" x14ac:dyDescent="0.25">
      <c r="B19" s="2"/>
      <c r="C19" s="2"/>
      <c r="D19" s="2"/>
      <c r="E19" s="2"/>
      <c r="F19" s="2"/>
      <c r="G19" s="2"/>
      <c r="H19" s="2"/>
      <c r="I19" s="22"/>
      <c r="J19" s="2"/>
      <c r="K19" s="22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具名範圍</vt:lpstr>
      </vt:variant>
      <vt:variant>
        <vt:i4>1</vt:i4>
      </vt:variant>
    </vt:vector>
  </HeadingPairs>
  <TitlesOfParts>
    <vt:vector size="3" baseType="lpstr">
      <vt:lpstr>報價單表單</vt:lpstr>
      <vt:lpstr>歷史報價</vt:lpstr>
      <vt:lpstr>報價單表單!Print_Area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Jyunpei FURUKAWA</dc:creator>
  <cp:lastModifiedBy>Excel</cp:lastModifiedBy>
  <cp:lastPrinted>2015-12-12T01:52:27Z</cp:lastPrinted>
  <dcterms:created xsi:type="dcterms:W3CDTF">2015-12-11T23:03:38Z</dcterms:created>
  <dcterms:modified xsi:type="dcterms:W3CDTF">2017-03-12T10:59:50Z</dcterms:modified>
</cp:coreProperties>
</file>